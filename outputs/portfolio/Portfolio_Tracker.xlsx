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ADME" sheetId="2" state="visible" r:id="rId2"/>
    <sheet name="Prices" sheetId="3" state="visible" r:id="rId3"/>
    <sheet name="AMZN" sheetId="4" state="visible" r:id="rId4"/>
    <sheet name="MSFT" sheetId="5" state="visible" r:id="rId5"/>
    <sheet name="UBER" sheetId="6" state="visible" r:id="rId6"/>
    <sheet name="Transactions" sheetId="7" state="visible" r:id="rId7"/>
    <sheet name="Dividends" sheetId="8" state="visible" r:id="rId8"/>
    <sheet name="Sell_Ru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;(0.0%);&quot;-&quot;"/>
    <numFmt numFmtId="165" formatCode="0.00000"/>
    <numFmt numFmtId="166" formatCode="$#,##0.00;($#,##0.00);&quot;-&quot;"/>
    <numFmt numFmtId="167" formatCode="0.00%;(0.00%);&quot;-&quot;"/>
    <numFmt numFmtId="168" formatCode="0.0&quot;x&quot;"/>
    <numFmt numFmtId="169" formatCode="£#,##0.00;(£#,##0.00);&quot;-&quot;"/>
    <numFmt numFmtId="170" formatCode="#,##0.0000;(#,##0.0000);&quot;-&quot;"/>
    <numFmt numFmtId="171" formatCode="£#,##0;(£#,##0);&quot;-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0000FF"/>
      <sz val="10"/>
    </font>
    <font>
      <name val="Arial"/>
      <color rgb="00008000"/>
      <sz val="10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546A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4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5" borderId="1" pivotButton="0" quotePrefix="0" xfId="0"/>
    <xf numFmtId="171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7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right" vertical="center"/>
    </xf>
    <xf numFmtId="169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2" fillId="6" borderId="1" pivotButton="0" quotePrefix="0" xfId="0"/>
    <xf numFmtId="0" fontId="3" fillId="6" borderId="1" pivotButton="0" quotePrefix="0" xfId="0"/>
    <xf numFmtId="169" fontId="2" fillId="6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  <xf numFmtId="0" fontId="3" fillId="0" borderId="0" pivotButton="0" quotePrefix="0" xfId="0"/>
    <xf numFmtId="0" fontId="5" fillId="4" borderId="1" pivotButton="0" quotePrefix="0" xfId="0"/>
    <xf numFmtId="0" fontId="3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2" fillId="0" borderId="1" pivotButton="0" quotePrefix="0" xfId="0"/>
    <xf numFmtId="0" fontId="3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165" fontId="5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6" fontId="5" fillId="4" borderId="1" pivotButton="0" quotePrefix="0" xfId="0"/>
    <xf numFmtId="166" fontId="3" fillId="0" borderId="1" pivotButton="0" quotePrefix="0" xfId="0"/>
    <xf numFmtId="167" fontId="3" fillId="0" borderId="1" pivotButton="0" quotePrefix="0" xfId="0"/>
    <xf numFmtId="164" fontId="3" fillId="0" borderId="1" pivotButton="0" quotePrefix="0" xfId="0"/>
    <xf numFmtId="168" fontId="3" fillId="0" borderId="1" pivotButton="0" quotePrefix="0" xfId="0"/>
    <xf numFmtId="169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170" fontId="3" fillId="0" borderId="1" applyAlignment="1" pivotButton="0" quotePrefix="0" xfId="0">
      <alignment horizontal="right" vertical="center"/>
    </xf>
    <xf numFmtId="169" fontId="3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8" fontId="6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168" fontId="5" fillId="4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9" fontId="5" fillId="4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right" vertical="center"/>
    </xf>
    <xf numFmtId="0" fontId="3" fillId="4" borderId="1" pivotButton="0" quotePrefix="0" xfId="0"/>
    <xf numFmtId="170" fontId="5" fillId="0" borderId="1" pivotButton="0" quotePrefix="0" xfId="0"/>
    <xf numFmtId="166" fontId="5" fillId="0" borderId="1" pivotButton="0" quotePrefix="0" xfId="0"/>
    <xf numFmtId="165" fontId="5" fillId="0" borderId="1" pivotButton="0" quotePrefix="0" xfId="0"/>
    <xf numFmtId="169" fontId="5" fillId="0" borderId="1" pivotButton="0" quotePrefix="0" xfId="0"/>
    <xf numFmtId="170" fontId="3" fillId="0" borderId="1" pivotButton="0" quotePrefix="0" xfId="0"/>
    <xf numFmtId="0" fontId="5" fillId="5" borderId="1" applyAlignment="1" pivotButton="0" quotePrefix="0" xfId="0">
      <alignment horizontal="center" vertical="center"/>
    </xf>
    <xf numFmtId="170" fontId="5" fillId="5" borderId="1" pivotButton="0" quotePrefix="0" xfId="0"/>
    <xf numFmtId="166" fontId="5" fillId="5" borderId="1" pivotButton="0" quotePrefix="0" xfId="0"/>
    <xf numFmtId="165" fontId="5" fillId="5" borderId="1" pivotButton="0" quotePrefix="0" xfId="0"/>
    <xf numFmtId="169" fontId="3" fillId="5" borderId="1" pivotButton="0" quotePrefix="0" xfId="0"/>
    <xf numFmtId="169" fontId="5" fillId="5" borderId="1" pivotButton="0" quotePrefix="0" xfId="0"/>
    <xf numFmtId="170" fontId="3" fillId="5" borderId="1" pivotButton="0" quotePrefix="0" xfId="0"/>
    <xf numFmtId="0" fontId="5" fillId="5" borderId="1" pivotButton="0" quotePrefix="0" xfId="0"/>
    <xf numFmtId="0" fontId="3" fillId="5" borderId="1" pivotButton="0" quotePrefix="0" xfId="0"/>
    <xf numFmtId="0" fontId="8" fillId="3" borderId="1" pivotButton="0" quotePrefix="0" xfId="0"/>
    <xf numFmtId="164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10">
    <dxf>
      <font>
        <name val="Arial"/>
        <color rgb="00C00000"/>
        <sz val="10"/>
      </font>
    </dxf>
    <dxf>
      <font>
        <name val="Arial"/>
        <color rgb="00008000"/>
        <sz val="10"/>
      </font>
    </dxf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  <dxf>
      <font>
        <name val="Arial"/>
        <b val="1"/>
        <color rgb="009C6500"/>
        <sz val="10"/>
      </font>
      <fill>
        <patternFill patternType="solid">
          <fgColor rgb="00FFEB9C"/>
        </patternFill>
      </fill>
    </dxf>
    <dxf>
      <font>
        <name val="Arial"/>
        <b val="1"/>
        <color rgb="00006100"/>
        <sz val="10"/>
      </font>
      <fill>
        <patternFill patternType="solid">
          <fgColor rgb="00C6EFCE"/>
        </patternFill>
      </fill>
    </dxf>
    <dxf>
      <font>
        <name val="Arial"/>
        <b val="1"/>
        <color rgb="009C0006"/>
        <sz val="12"/>
      </font>
      <fill>
        <patternFill patternType="solid">
          <fgColor rgb="00FFC7CE"/>
        </patternFill>
      </fill>
    </dxf>
    <dxf>
      <font>
        <name val="Arial"/>
        <b val="1"/>
        <color rgb="009C6500"/>
        <sz val="12"/>
      </font>
      <fill>
        <patternFill patternType="solid">
          <fgColor rgb="00FFEB9C"/>
        </patternFill>
      </fill>
    </dxf>
    <dxf>
      <font>
        <name val="Arial"/>
        <b val="1"/>
        <color rgb="00006100"/>
        <sz val="12"/>
      </font>
      <fill>
        <patternFill patternType="solid">
          <fgColor rgb="00C6EFCE"/>
        </patternFill>
      </fill>
    </dxf>
    <dxf>
      <font>
        <name val="Arial"/>
        <b val="1"/>
        <color rgb="00006100"/>
        <sz val="10"/>
      </font>
    </dxf>
    <dxf>
      <font>
        <name val="Arial"/>
        <b val="1"/>
        <color rgb="009C0006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Portfolio Tracker</author>
  </authors>
  <commentList>
    <comment ref="B3" authorId="0" shapeId="0">
      <text>
        <t>Source: FMP forex quote GBPUSD, 4 Aug 2026.
Update whenever you refresh prices.</t>
      </text>
    </comment>
    <comment ref="D7" authorId="0" shapeId="0">
      <text>
        <t>Derived, not a feed print: your GBP value per share (206.3014) x GBP/USD 1.34499.
Source of the GBP value: Never Sell pie export, 4 Aug 2026.
Replace with a live price.</t>
      </text>
    </comment>
    <comment ref="E7" authorId="0" shapeId="0">
      <text>
        <t>Previous close, in USD. Leave blank if you do not track it.</t>
      </text>
    </comment>
    <comment ref="H7" authorId="0" shapeId="0">
      <text>
        <t>52-week high in USD. The trailing stop on the holding tab depends on this.</t>
      </text>
    </comment>
    <comment ref="I7" authorId="0" shapeId="0">
      <text>
        <t>52-week low in USD.</t>
      </text>
    </comment>
    <comment ref="K7" authorId="0" shapeId="0">
      <text>
        <t>Diluted EPS, trailing twelve months, USD.
Source: latest 10-Q/10-K or your broker.
Left blank deliberately — I will not invent financials.</t>
      </text>
    </comment>
    <comment ref="L7" authorId="0" shapeId="0">
      <text>
        <t>Consensus EPS for the next full year, USD.
Source: your broker's research tab.</t>
      </text>
    </comment>
    <comment ref="O7" authorId="0" shapeId="0">
      <text>
        <t>Consensus analyst price target, USD.</t>
      </text>
    </comment>
    <comment ref="D8" authorId="0" shapeId="0">
      <text>
        <t>Derived, not a feed print: your GBP value per share (354.8624) x GBP/USD 1.34499.
Source of the GBP value: Never Sell pie export, 4 Aug 2026.
Replace with a live price.</t>
      </text>
    </comment>
    <comment ref="E8" authorId="0" shapeId="0">
      <text>
        <t>Previous close, in USD. Leave blank if you do not track it.</t>
      </text>
    </comment>
    <comment ref="H8" authorId="0" shapeId="0">
      <text>
        <t>52-week high in USD. The trailing stop on the holding tab depends on this.</t>
      </text>
    </comment>
    <comment ref="I8" authorId="0" shapeId="0">
      <text>
        <t>52-week low in USD.</t>
      </text>
    </comment>
    <comment ref="K8" authorId="0" shapeId="0">
      <text>
        <t>Diluted EPS, trailing twelve months, USD.
Source: latest 10-Q/10-K or your broker.
Left blank deliberately — I will not invent financials.</t>
      </text>
    </comment>
    <comment ref="L8" authorId="0" shapeId="0">
      <text>
        <t>Consensus EPS for the next full year, USD.
Source: your broker's research tab.</t>
      </text>
    </comment>
    <comment ref="O8" authorId="0" shapeId="0">
      <text>
        <t>Consensus analyst price target, USD.</t>
      </text>
    </comment>
    <comment ref="D9" authorId="0" shapeId="0">
      <text>
        <t>Derived, not a feed print: your GBP value per share (53.1820) x GBP/USD 1.34499.
Source of the GBP value: Never Sell pie export, 4 Aug 2026.
Replace with a live price.</t>
      </text>
    </comment>
    <comment ref="E9" authorId="0" shapeId="0">
      <text>
        <t>Previous close, in USD. Leave blank if you do not track it.</t>
      </text>
    </comment>
    <comment ref="H9" authorId="0" shapeId="0">
      <text>
        <t>52-week high in USD. The trailing stop on the holding tab depends on this.</t>
      </text>
    </comment>
    <comment ref="I9" authorId="0" shapeId="0">
      <text>
        <t>52-week low in USD.</t>
      </text>
    </comment>
    <comment ref="K9" authorId="0" shapeId="0">
      <text>
        <t>Diluted EPS, trailing twelve months, USD.
Source: latest 10-Q/10-K or your broker.
Left blank deliberately — I will not invent financials.</t>
      </text>
    </comment>
    <comment ref="L9" authorId="0" shapeId="0">
      <text>
        <t>Consensus EPS for the next full year, USD.
Source: your broker's research tab.</t>
      </text>
    </comment>
    <comment ref="O9" authorId="0" shapeId="0">
      <text>
        <t>Consensus analyst price target, USD.</t>
      </text>
    </comment>
  </commentList>
</comments>
</file>

<file path=xl/comments/comment2.xml><?xml version="1.0" encoding="utf-8"?>
<comments xmlns="http://schemas.openxmlformats.org/spreadsheetml/2006/main">
  <authors>
    <author>Portfolio Tracker</author>
  </authors>
  <commentList>
    <comment ref="B32" authorId="0" shapeId="0">
      <text>
        <t>Type the multiple you think this business deserves, e.g. 28 for a quality compounder.</t>
      </text>
    </comment>
    <comment ref="B54" authorId="0" shapeId="0">
      <text>
        <t>Leave blank to use the percentage rules. Set a price here and it takes priority.</t>
      </text>
    </comment>
    <comment ref="B57" authorId="0" shapeId="0">
      <text>
        <t>Assumed 0. Trading 212 charges a 0.15% FX conversion fee on USD sales.</t>
      </text>
    </comment>
    <comment ref="B63" authorId="0" shapeId="0">
      <text>
        <t>Declared annual dividend per share in USD.
Source: company investor relations page.</t>
      </text>
    </comment>
  </commentList>
</comments>
</file>

<file path=xl/comments/comment3.xml><?xml version="1.0" encoding="utf-8"?>
<comments xmlns="http://schemas.openxmlformats.org/spreadsheetml/2006/main">
  <authors>
    <author>Portfolio Tracker</author>
  </authors>
  <commentList>
    <comment ref="B32" authorId="0" shapeId="0">
      <text>
        <t>Type the multiple you think this business deserves, e.g. 28 for a quality compounder.</t>
      </text>
    </comment>
    <comment ref="B54" authorId="0" shapeId="0">
      <text>
        <t>Leave blank to use the percentage rules. Set a price here and it takes priority.</t>
      </text>
    </comment>
    <comment ref="B57" authorId="0" shapeId="0">
      <text>
        <t>Assumed 0. Trading 212 charges a 0.15% FX conversion fee on USD sales.</t>
      </text>
    </comment>
    <comment ref="B63" authorId="0" shapeId="0">
      <text>
        <t>Declared annual dividend per share in USD.
Source: company investor relations page.</t>
      </text>
    </comment>
  </commentList>
</comments>
</file>

<file path=xl/comments/comment4.xml><?xml version="1.0" encoding="utf-8"?>
<comments xmlns="http://schemas.openxmlformats.org/spreadsheetml/2006/main">
  <authors>
    <author>Portfolio Tracker</author>
  </authors>
  <commentList>
    <comment ref="B32" authorId="0" shapeId="0">
      <text>
        <t>Type the multiple you think this business deserves, e.g. 28 for a quality compounder.</t>
      </text>
    </comment>
    <comment ref="B54" authorId="0" shapeId="0">
      <text>
        <t>Leave blank to use the percentage rules. Set a price here and it takes priority.</t>
      </text>
    </comment>
    <comment ref="B57" authorId="0" shapeId="0">
      <text>
        <t>Assumed 0. Trading 212 charges a 0.15% FX conversion fee on USD sales.</t>
      </text>
    </comment>
    <comment ref="B63" authorId="0" shapeId="0">
      <text>
        <t>Declared annual dividend per share in USD.
Source: company investor relations page.</t>
      </text>
    </comment>
  </commentList>
</comments>
</file>

<file path=xl/comments/comment5.xml><?xml version="1.0" encoding="utf-8"?>
<comments xmlns="http://schemas.openxmlformats.org/spreadsheetml/2006/main">
  <authors>
    <author>Portfolio Tracker</author>
  </authors>
  <commentList>
    <comment ref="E4" authorId="0" shapeId="0">
      <text>
        <t>Derived so the opening row reproduces your export exactly:
invested GBP / shares x GBP/USD 1.34499.
Source: Never Sell pie export, 4 Aug 2026.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L26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26" customWidth="1" min="3" max="3"/>
    <col width="14" customWidth="1" min="4" max="4"/>
    <col width="14" customWidth="1" min="5" max="5"/>
    <col width="15" customWidth="1" min="6" max="6"/>
    <col width="15" customWidth="1" min="7" max="7"/>
    <col width="15" customWidth="1" min="8" max="8"/>
    <col width="12" customWidth="1" min="9" max="9"/>
    <col width="11" customWidth="1" min="10" max="10"/>
    <col width="13" customWidth="1" min="11" max="11"/>
    <col width="24" customWidth="1" min="12" max="12"/>
  </cols>
  <sheetData>
    <row r="1" ht="22" customHeight="1">
      <c r="A1" s="1" t="inlineStr">
        <is>
          <t>PORTFOLIO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Prices as at</t>
        </is>
      </c>
      <c r="B2" s="4">
        <f>Prices!$B$4</f>
        <v/>
      </c>
      <c r="C2" s="5" t="inlineStr">
        <is>
          <t>update on the Prices tab</t>
        </is>
      </c>
    </row>
    <row r="4" ht="18" customHeight="1">
      <c r="A4" s="6" t="inlineStr">
        <is>
          <t>PORTFOLIO SUMMARY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>
      <c r="A5" s="8" t="inlineStr">
        <is>
          <t>Total invested (GBP)</t>
        </is>
      </c>
      <c r="B5" s="9">
        <f>G23</f>
        <v/>
      </c>
    </row>
    <row r="6">
      <c r="A6" s="8" t="inlineStr">
        <is>
          <t>Current market value (GBP)</t>
        </is>
      </c>
      <c r="B6" s="9">
        <f>H23</f>
        <v/>
      </c>
    </row>
    <row r="7">
      <c r="A7" s="8" t="inlineStr">
        <is>
          <t>Unrealised P/L (GBP)</t>
        </is>
      </c>
      <c r="B7" s="9">
        <f>I23</f>
        <v/>
      </c>
    </row>
    <row r="8">
      <c r="A8" s="8" t="inlineStr">
        <is>
          <t>Unrealised P/L %</t>
        </is>
      </c>
      <c r="B8" s="10">
        <f>IFERROR(B7/B5,0)</f>
        <v/>
      </c>
    </row>
    <row r="9">
      <c r="A9" s="8" t="inlineStr">
        <is>
          <t>Realised P/L (GBP)</t>
        </is>
      </c>
      <c r="B9" s="9">
        <f>SUM(Transactions!$P$4:$P$63)</f>
        <v/>
      </c>
    </row>
    <row r="10">
      <c r="A10" s="8" t="inlineStr">
        <is>
          <t>Dividends received (GBP)</t>
        </is>
      </c>
      <c r="B10" s="9">
        <f>SUM(Dividends!$H$4:$H$43)</f>
        <v/>
      </c>
    </row>
    <row r="11">
      <c r="A11" s="8" t="inlineStr">
        <is>
          <t>Total return (GBP)</t>
        </is>
      </c>
      <c r="B11" s="9">
        <f>B7+B9+B10</f>
        <v/>
      </c>
    </row>
    <row r="12">
      <c r="A12" s="8" t="inlineStr">
        <is>
          <t>Total return %</t>
        </is>
      </c>
      <c r="B12" s="10">
        <f>IFERROR(B11/B5,0)</f>
        <v/>
      </c>
    </row>
    <row r="13">
      <c r="A13" s="8" t="inlineStr">
        <is>
          <t>Day change (GBP)</t>
        </is>
      </c>
      <c r="B13" s="9">
        <f>'AMZN'!$B$17+'MSFT'!$B$17+'UBER'!$B$17</f>
        <v/>
      </c>
    </row>
    <row r="14">
      <c r="A14" s="8" t="inlineStr">
        <is>
          <t>Day change %</t>
        </is>
      </c>
      <c r="B14" s="11">
        <f>IFERROR(B13/(B6-B13),0)</f>
        <v/>
      </c>
    </row>
    <row r="15">
      <c r="A15" s="8" t="inlineStr">
        <is>
          <t>Number of holdings</t>
        </is>
      </c>
      <c r="B15" s="12">
        <f>COUNTIF(A20:A22,"?*")</f>
        <v/>
      </c>
    </row>
    <row r="16">
      <c r="A16" s="8" t="inlineStr">
        <is>
          <t>Largest position</t>
        </is>
      </c>
      <c r="B16" s="13">
        <f>IFERROR(INDEX(A20:A22,MATCH(MAX(H20:H22),H20:H22,0)),"")</f>
        <v/>
      </c>
    </row>
    <row r="18" ht="18" customHeight="1">
      <c r="A18" s="6" t="inlineStr">
        <is>
          <t>HOLDINGS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30" customHeight="1">
      <c r="A19" s="14" t="inlineStr">
        <is>
          <t>Ticker</t>
        </is>
      </c>
      <c r="B19" s="14" t="inlineStr">
        <is>
          <t>Company</t>
        </is>
      </c>
      <c r="C19" s="14" t="inlineStr">
        <is>
          <t>Sleeve</t>
        </is>
      </c>
      <c r="D19" s="14" t="inlineStr">
        <is>
          <t>Shares</t>
        </is>
      </c>
      <c r="E19" s="14" t="inlineStr">
        <is>
          <t>Avg cost (GBP)</t>
        </is>
      </c>
      <c r="F19" s="14" t="inlineStr">
        <is>
          <t>Price (GBP)</t>
        </is>
      </c>
      <c r="G19" s="14" t="inlineStr">
        <is>
          <t>Invested (GBP)</t>
        </is>
      </c>
      <c r="H19" s="14" t="inlineStr">
        <is>
          <t>Market value (GBP)</t>
        </is>
      </c>
      <c r="I19" s="14" t="inlineStr">
        <is>
          <t>Unreal. P/L (GBP)</t>
        </is>
      </c>
      <c r="J19" s="14" t="inlineStr">
        <is>
          <t>P/L %</t>
        </is>
      </c>
      <c r="K19" s="14" t="inlineStr">
        <is>
          <t>Weight</t>
        </is>
      </c>
      <c r="L19" s="14" t="inlineStr">
        <is>
          <t>Signal</t>
        </is>
      </c>
    </row>
    <row r="20">
      <c r="A20" s="15">
        <f>'AMZN'!$B$4</f>
        <v/>
      </c>
      <c r="B20" s="16">
        <f>'AMZN'!$B$5</f>
        <v/>
      </c>
      <c r="C20" s="17">
        <f>'AMZN'!$B$6</f>
        <v/>
      </c>
      <c r="D20" s="18">
        <f>'AMZN'!$B$8</f>
        <v/>
      </c>
      <c r="E20" s="19">
        <f>'AMZN'!$B$10</f>
        <v/>
      </c>
      <c r="F20" s="19">
        <f>'AMZN'!$B$13</f>
        <v/>
      </c>
      <c r="G20" s="19">
        <f>'AMZN'!$B$9</f>
        <v/>
      </c>
      <c r="H20" s="19">
        <f>'AMZN'!$B$14</f>
        <v/>
      </c>
      <c r="I20" s="19">
        <f>'AMZN'!$B$15</f>
        <v/>
      </c>
      <c r="J20" s="20">
        <f>'AMZN'!$B$16</f>
        <v/>
      </c>
      <c r="K20" s="20">
        <f>'AMZN'!$B$19</f>
        <v/>
      </c>
      <c r="L20" s="15">
        <f>'AMZN'!$B$55</f>
        <v/>
      </c>
    </row>
    <row r="21">
      <c r="A21" s="15">
        <f>'MSFT'!$B$4</f>
        <v/>
      </c>
      <c r="B21" s="16">
        <f>'MSFT'!$B$5</f>
        <v/>
      </c>
      <c r="C21" s="17">
        <f>'MSFT'!$B$6</f>
        <v/>
      </c>
      <c r="D21" s="18">
        <f>'MSFT'!$B$8</f>
        <v/>
      </c>
      <c r="E21" s="19">
        <f>'MSFT'!$B$10</f>
        <v/>
      </c>
      <c r="F21" s="19">
        <f>'MSFT'!$B$13</f>
        <v/>
      </c>
      <c r="G21" s="19">
        <f>'MSFT'!$B$9</f>
        <v/>
      </c>
      <c r="H21" s="19">
        <f>'MSFT'!$B$14</f>
        <v/>
      </c>
      <c r="I21" s="19">
        <f>'MSFT'!$B$15</f>
        <v/>
      </c>
      <c r="J21" s="20">
        <f>'MSFT'!$B$16</f>
        <v/>
      </c>
      <c r="K21" s="20">
        <f>'MSFT'!$B$19</f>
        <v/>
      </c>
      <c r="L21" s="15">
        <f>'MSFT'!$B$55</f>
        <v/>
      </c>
    </row>
    <row r="22">
      <c r="A22" s="15">
        <f>'UBER'!$B$4</f>
        <v/>
      </c>
      <c r="B22" s="16">
        <f>'UBER'!$B$5</f>
        <v/>
      </c>
      <c r="C22" s="17">
        <f>'UBER'!$B$6</f>
        <v/>
      </c>
      <c r="D22" s="18">
        <f>'UBER'!$B$8</f>
        <v/>
      </c>
      <c r="E22" s="19">
        <f>'UBER'!$B$10</f>
        <v/>
      </c>
      <c r="F22" s="19">
        <f>'UBER'!$B$13</f>
        <v/>
      </c>
      <c r="G22" s="19">
        <f>'UBER'!$B$9</f>
        <v/>
      </c>
      <c r="H22" s="19">
        <f>'UBER'!$B$14</f>
        <v/>
      </c>
      <c r="I22" s="19">
        <f>'UBER'!$B$15</f>
        <v/>
      </c>
      <c r="J22" s="20">
        <f>'UBER'!$B$16</f>
        <v/>
      </c>
      <c r="K22" s="20">
        <f>'UBER'!$B$19</f>
        <v/>
      </c>
      <c r="L22" s="15">
        <f>'UBER'!$B$55</f>
        <v/>
      </c>
    </row>
    <row r="23">
      <c r="A23" s="21" t="inlineStr">
        <is>
          <t>TOTAL</t>
        </is>
      </c>
      <c r="B23" s="22" t="n"/>
      <c r="C23" s="22" t="n"/>
      <c r="D23" s="22" t="n"/>
      <c r="E23" s="22" t="n"/>
      <c r="F23" s="22" t="n"/>
      <c r="G23" s="23">
        <f>SUM(G20:G22)</f>
        <v/>
      </c>
      <c r="H23" s="23">
        <f>SUM(H20:H22)</f>
        <v/>
      </c>
      <c r="I23" s="23">
        <f>SUM(I20:I22)</f>
        <v/>
      </c>
      <c r="J23" s="24">
        <f>IFERROR(I23/G23,0)</f>
        <v/>
      </c>
      <c r="K23" s="24">
        <f>SUM(K20:K22)</f>
        <v/>
      </c>
      <c r="L23" s="22" t="n"/>
    </row>
    <row r="25">
      <c r="A25" s="5" t="inlineStr">
        <is>
          <t>Green figures are pulled live from the holding tabs. Change nothing here — edit the holding tab or the Prices tab.</t>
        </is>
      </c>
    </row>
    <row r="26">
      <c r="A26" s="5" t="inlineStr">
        <is>
          <t>Weight is each position as a share of current market value, not of invested capital.</t>
        </is>
      </c>
    </row>
  </sheetData>
  <mergeCells count="3">
    <mergeCell ref="A1:L1"/>
    <mergeCell ref="A4:L4"/>
    <mergeCell ref="A18:L18"/>
  </mergeCells>
  <conditionalFormatting sqref="B7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B8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B9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B11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B12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B13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B14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I20:J22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L20:L22">
    <cfRule type="expression" priority="17" dxfId="2">
      <formula>ISNUMBER(SEARCH("SELL",$L20))</formula>
    </cfRule>
    <cfRule type="expression" priority="18" dxfId="3">
      <formula>ISNUMBER(SEARCH("TRIM",$L20))</formula>
    </cfRule>
    <cfRule type="expression" priority="19" dxfId="4">
      <formula>EXACT($L20,"HOLD")</formula>
    </cfRule>
  </conditionalFormatting>
  <conditionalFormatting sqref="K20:K22">
    <cfRule type="dataBar" priority="20">
      <dataBar>
        <cfvo type="num" val="0"/>
        <cfvo type="num" val="1"/>
        <color rgb="00638EC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30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LIVE PORTFOLIO TRACKER  —  how to use this workbook</t>
        </is>
      </c>
      <c r="B1" s="2" t="n"/>
      <c r="C1" s="2" t="n"/>
      <c r="D1" s="2" t="n"/>
      <c r="E1" s="2" t="n"/>
      <c r="F1" s="2" t="n"/>
    </row>
    <row r="3">
      <c r="A3" s="3" t="inlineStr">
        <is>
          <t>Built</t>
        </is>
      </c>
      <c r="B3" s="25" t="inlineStr">
        <is>
          <t>4 August 2026, from your Never Sell pie export.</t>
        </is>
      </c>
    </row>
    <row r="4">
      <c r="A4" s="3" t="inlineStr">
        <is>
          <t>Holdings in v1</t>
        </is>
      </c>
      <c r="B4" s="25" t="inlineStr">
        <is>
          <t>AMZN, MSFT, UBER — one tab each. More sleeves get added as we refine.</t>
        </is>
      </c>
    </row>
    <row r="6" ht="18" customHeight="1">
      <c r="A6" s="6" t="inlineStr">
        <is>
          <t>COLOUR LEGEND  —  what you may type into</t>
        </is>
      </c>
      <c r="B6" s="7" t="n"/>
      <c r="C6" s="7" t="n"/>
      <c r="D6" s="7" t="n"/>
      <c r="E6" s="7" t="n"/>
      <c r="F6" s="7" t="n"/>
    </row>
    <row r="7">
      <c r="A7" s="26" t="inlineStr">
        <is>
          <t>Yellow fill, blue text</t>
        </is>
      </c>
      <c r="B7" s="27" t="inlineStr">
        <is>
          <t>TYPE HERE. These are your inputs: live prices, EPS, targets, rules.</t>
        </is>
      </c>
    </row>
    <row r="8">
      <c r="A8" s="28" t="inlineStr">
        <is>
          <t>Blue text, no fill</t>
        </is>
      </c>
      <c r="B8" s="27" t="inlineStr">
        <is>
          <t>Hardcoded input you can change (opening balances, fees).</t>
        </is>
      </c>
    </row>
    <row r="9">
      <c r="A9" s="27" t="inlineStr">
        <is>
          <t>Black text</t>
        </is>
      </c>
      <c r="B9" s="27" t="inlineStr">
        <is>
          <t>Formula. Do not overtype — it will break the calculation chain.</t>
        </is>
      </c>
    </row>
    <row r="10">
      <c r="A10" s="29" t="inlineStr">
        <is>
          <t>Green text</t>
        </is>
      </c>
      <c r="B10" s="27" t="inlineStr">
        <is>
          <t>Link pulling from another tab in this workbook.</t>
        </is>
      </c>
    </row>
    <row r="12" ht="18" customHeight="1">
      <c r="A12" s="6" t="inlineStr">
        <is>
          <t>TAB GUIDE</t>
        </is>
      </c>
      <c r="B12" s="7" t="n"/>
      <c r="C12" s="7" t="n"/>
      <c r="D12" s="7" t="n"/>
      <c r="E12" s="7" t="n"/>
      <c r="F12" s="7" t="n"/>
    </row>
    <row r="13">
      <c r="A13" s="30" t="inlineStr">
        <is>
          <t>Dashboard</t>
        </is>
      </c>
      <c r="B13" s="27" t="inlineStr">
        <is>
          <t>Whole-portfolio totals, every holding side by side, weights, and each sell signal.</t>
        </is>
      </c>
    </row>
    <row r="14">
      <c r="A14" s="30" t="inlineStr">
        <is>
          <t>Prices</t>
        </is>
      </c>
      <c r="B14" s="27" t="inlineStr">
        <is>
          <t>The price engine. Update the live price cells here and the entire workbook moves.</t>
        </is>
      </c>
    </row>
    <row r="15">
      <c r="A15" s="30" t="inlineStr">
        <is>
          <t>AMZN / MSFT / UBER</t>
        </is>
      </c>
      <c r="B15" s="27" t="inlineStr">
        <is>
          <t>One tab per holding: position, valuation &amp; EPS, sell discipline, dividends, trade history, thesis.</t>
        </is>
      </c>
    </row>
    <row r="16">
      <c r="A16" s="30" t="inlineStr">
        <is>
          <t>Transactions</t>
        </is>
      </c>
      <c r="B16" s="27" t="inlineStr">
        <is>
          <t>Master trade log. Every buy and sell goes here once. Shares and average cost are calculated from it — never typed.</t>
        </is>
      </c>
    </row>
    <row r="17">
      <c r="A17" s="30" t="inlineStr">
        <is>
          <t>Dividends</t>
        </is>
      </c>
      <c r="B17" s="27" t="inlineStr">
        <is>
          <t>Dividend log. Feeds income figures on the holding tabs.</t>
        </is>
      </c>
    </row>
    <row r="18">
      <c r="A18" s="30" t="inlineStr">
        <is>
          <t>Sell_Rules</t>
        </is>
      </c>
      <c r="B18" s="27" t="inlineStr">
        <is>
          <t>Your default sell rules in one place. Each holding tab inherits these and can override.</t>
        </is>
      </c>
    </row>
    <row r="20" ht="18" customHeight="1">
      <c r="A20" s="6" t="inlineStr">
        <is>
          <t>MAKING THE PRICES LIVE  —  three options, pick one</t>
        </is>
      </c>
      <c r="B20" s="7" t="n"/>
      <c r="C20" s="7" t="n"/>
      <c r="D20" s="7" t="n"/>
      <c r="E20" s="7" t="n"/>
      <c r="F20" s="7" t="n"/>
    </row>
    <row r="21" ht="42" customHeight="1">
      <c r="A21" s="30" t="inlineStr">
        <is>
          <t>1. Stocks data type</t>
        </is>
      </c>
      <c r="B21" s="31" t="inlineStr">
        <is>
          <t>Microsoft 365. On Prices, select A7:A9, then Data &gt; Stocks. Excel converts them to linked tickers. Then set D7 to  =A7.Price  and fill down. Refresh with Data &gt; Refresh All.</t>
        </is>
      </c>
    </row>
    <row r="22" ht="42" customHeight="1">
      <c r="A22" s="30" t="inlineStr">
        <is>
          <t>2. STOCKHISTORY</t>
        </is>
      </c>
      <c r="B22" s="31" t="inlineStr">
        <is>
          <t>Microsoft 365. Put this in D7 (as a formula, not text):  =STOCKHISTORY(A7,TODAY()-5,TODAY(),0,0,1)  and take the last row. Recalculates on file open.</t>
        </is>
      </c>
    </row>
    <row r="23" ht="42" customHeight="1">
      <c r="A23" s="30" t="inlineStr">
        <is>
          <t>3. Manual / paste</t>
        </is>
      </c>
      <c r="B23" s="31" t="inlineStr">
        <is>
          <t>Works in every version of Excel, including web and Mac. Type or paste the price into D7:D9. Takes ten seconds and every number in the workbook updates.</t>
        </is>
      </c>
    </row>
    <row r="25" ht="30" customHeight="1">
      <c r="A25" s="3" t="inlineStr">
        <is>
          <t>Note</t>
        </is>
      </c>
      <c r="B25" s="32" t="inlineStr">
        <is>
          <t>A generated .xlsx cannot ship with prices already wired to a feed — Excel only trusts a live connection you enable yourself. Options 1 and 2 take one setup step each, then run themselves.</t>
        </is>
      </c>
    </row>
    <row r="27" ht="18" customHeight="1">
      <c r="A27" s="6" t="inlineStr">
        <is>
          <t>ASSUMPTIONS AND SOURCES  —  read before trusting a number</t>
        </is>
      </c>
      <c r="B27" s="7" t="n"/>
      <c r="C27" s="7" t="n"/>
      <c r="D27" s="7" t="n"/>
      <c r="E27" s="7" t="n"/>
      <c r="F27" s="7" t="n"/>
    </row>
    <row r="28" ht="15" customHeight="1">
      <c r="A28" s="30" t="inlineStr">
        <is>
          <t>Shares, invested, value</t>
        </is>
      </c>
      <c r="B28" s="31" t="inlineStr">
        <is>
          <t>Your Trading 212 Never Sell pie export, Never-sell-2026-08-04T11-15-05.211Z.csv.</t>
        </is>
      </c>
    </row>
    <row r="29" ht="30" customHeight="1">
      <c r="A29" s="30" t="inlineStr">
        <is>
          <t>Opening prices (USD)</t>
        </is>
      </c>
      <c r="B29" s="31" t="inlineStr">
        <is>
          <t>Derived: your GBP value per share x GBP/USD 1.34499. Not a feed print — replace with a live price on the Prices tab.</t>
        </is>
      </c>
    </row>
    <row r="30" ht="15" customHeight="1">
      <c r="A30" s="30" t="inlineStr">
        <is>
          <t>GBP/USD 1.34499</t>
        </is>
      </c>
      <c r="B30" s="31" t="inlineStr">
        <is>
          <t>FMP forex quote GBPUSD, 4 August 2026.</t>
        </is>
      </c>
    </row>
    <row r="31" ht="30" customHeight="1">
      <c r="A31" s="30" t="inlineStr">
        <is>
          <t>EPS, forward EPS, analyst target</t>
        </is>
      </c>
      <c r="B31" s="31" t="inlineStr">
        <is>
          <t>LEFT BLANK ON PURPOSE. I will not invent company financials. Fill from the latest 10-Q or your broker's research tab — every valuation cell below them lights up the moment you do.</t>
        </is>
      </c>
    </row>
    <row r="32" ht="15" customHeight="1">
      <c r="A32" s="30" t="inlineStr">
        <is>
          <t>52-week high / low</t>
        </is>
      </c>
      <c r="B32" s="31" t="inlineStr">
        <is>
          <t>Blank. Fill on the Prices tab — the trailing stop depends on the 52w high.</t>
        </is>
      </c>
    </row>
    <row r="33" ht="15" customHeight="1">
      <c r="A33" s="30" t="inlineStr">
        <is>
          <t>Sell rules</t>
        </is>
      </c>
      <c r="B33" s="31" t="inlineStr">
        <is>
          <t>Defaults on Sell_Rules are placeholders I chose, not advice. Set them to your own.</t>
        </is>
      </c>
    </row>
    <row r="34" ht="15" customHeight="1">
      <c r="A34" s="30" t="inlineStr">
        <is>
          <t>Fees</t>
        </is>
      </c>
      <c r="B34" s="31" t="inlineStr">
        <is>
          <t>Assumed zero on the opening rows. Add real fees per trade in Transactions column I.</t>
        </is>
      </c>
    </row>
    <row r="35" ht="15" customHeight="1">
      <c r="A35" s="30" t="inlineStr">
        <is>
          <t>Dividends</t>
        </is>
      </c>
      <c r="B35" s="31" t="inlineStr">
        <is>
          <t>AMZN, MSFT and UBER: only MSFT currently pays one. Log actual payments in Dividends.</t>
        </is>
      </c>
    </row>
    <row r="37">
      <c r="A37" s="5" t="inlineStr">
        <is>
          <t>Not financial advice. Figures are only as good as the inputs you keep current.</t>
        </is>
      </c>
    </row>
  </sheetData>
  <mergeCells count="5">
    <mergeCell ref="A1:F1"/>
    <mergeCell ref="A27:F27"/>
    <mergeCell ref="A6:F6"/>
    <mergeCell ref="A12:F12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Q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0" customWidth="1" min="3" max="3"/>
    <col width="14" customWidth="1" min="4" max="4"/>
    <col width="13" customWidth="1" min="5" max="5"/>
    <col width="12" customWidth="1" min="6" max="6"/>
    <col width="11" customWidth="1" min="7" max="7"/>
    <col width="13" customWidth="1" min="8" max="8"/>
    <col width="13" customWidth="1" min="9" max="9"/>
    <col width="13" customWidth="1" min="10" max="10"/>
    <col width="12" customWidth="1" min="11" max="11"/>
    <col width="13" customWidth="1" min="12" max="12"/>
    <col width="11" customWidth="1" min="13" max="13"/>
    <col width="11" customWidth="1" min="14" max="14"/>
    <col width="15" customWidth="1" min="15" max="15"/>
    <col width="12" customWidth="1" min="16" max="16"/>
    <col width="13" customWidth="1" min="17" max="17"/>
  </cols>
  <sheetData>
    <row r="1" ht="22" customHeight="1">
      <c r="A1" s="1" t="inlineStr">
        <is>
          <t>PRICE ENGINE  —  update the yellow cells and the whole workbook moves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3">
      <c r="A3" s="3" t="inlineStr">
        <is>
          <t>GBP/USD rate</t>
        </is>
      </c>
      <c r="B3" s="33" t="n">
        <v>1.34499</v>
      </c>
      <c r="C3" s="5" t="inlineStr">
        <is>
          <t>&lt;- every USD figure is converted at this rate</t>
        </is>
      </c>
    </row>
    <row r="4">
      <c r="A4" s="3" t="inlineStr">
        <is>
          <t>Prices as at</t>
        </is>
      </c>
      <c r="B4" s="34" t="inlineStr">
        <is>
          <t>2026-08-04</t>
        </is>
      </c>
      <c r="C4" s="5" t="inlineStr">
        <is>
          <t>&lt;- stamp the date/time you last refreshed</t>
        </is>
      </c>
    </row>
    <row r="6" ht="26" customHeight="1">
      <c r="A6" s="35" t="inlineStr">
        <is>
          <t>Ticker</t>
        </is>
      </c>
      <c r="B6" s="35" t="inlineStr">
        <is>
          <t>Company</t>
        </is>
      </c>
      <c r="C6" s="35" t="inlineStr">
        <is>
          <t>Ccy</t>
        </is>
      </c>
      <c r="D6" s="35" t="inlineStr">
        <is>
          <t>Live price</t>
        </is>
      </c>
      <c r="E6" s="35" t="inlineStr">
        <is>
          <t>Prev close</t>
        </is>
      </c>
      <c r="F6" s="35" t="inlineStr">
        <is>
          <t>Day chg</t>
        </is>
      </c>
      <c r="G6" s="35" t="inlineStr">
        <is>
          <t>Day chg %</t>
        </is>
      </c>
      <c r="H6" s="35" t="inlineStr">
        <is>
          <t>52w high</t>
        </is>
      </c>
      <c r="I6" s="35" t="inlineStr">
        <is>
          <t>52w low</t>
        </is>
      </c>
      <c r="J6" s="35" t="inlineStr">
        <is>
          <t>% off high</t>
        </is>
      </c>
      <c r="K6" s="35" t="inlineStr">
        <is>
          <t>EPS TTM</t>
        </is>
      </c>
      <c r="L6" s="35" t="inlineStr">
        <is>
          <t>EPS fwd</t>
        </is>
      </c>
      <c r="M6" s="35" t="inlineStr">
        <is>
          <t>P/E TTM</t>
        </is>
      </c>
      <c r="N6" s="35" t="inlineStr">
        <is>
          <t>Fwd P/E</t>
        </is>
      </c>
      <c r="O6" s="35" t="inlineStr">
        <is>
          <t>Analyst target</t>
        </is>
      </c>
      <c r="P6" s="35" t="inlineStr">
        <is>
          <t>Target upside</t>
        </is>
      </c>
      <c r="Q6" s="35" t="inlineStr">
        <is>
          <t>Price (GBP)</t>
        </is>
      </c>
    </row>
    <row r="7">
      <c r="A7" s="15" t="inlineStr">
        <is>
          <t>AMZN</t>
        </is>
      </c>
      <c r="B7" s="27" t="inlineStr">
        <is>
          <t>Amazon.com, Inc.</t>
        </is>
      </c>
      <c r="C7" s="36" t="inlineStr">
        <is>
          <t>USD</t>
        </is>
      </c>
      <c r="D7" s="37" t="n">
        <v>277.4734</v>
      </c>
      <c r="E7" s="37" t="n"/>
      <c r="F7" s="38">
        <f>IF(E7="","",D7-E7)</f>
        <v/>
      </c>
      <c r="G7" s="39">
        <f>IFERROR(F7/E7,"")</f>
        <v/>
      </c>
      <c r="H7" s="37" t="n"/>
      <c r="I7" s="37" t="n"/>
      <c r="J7" s="40">
        <f>IFERROR(D7/H7-1,"")</f>
        <v/>
      </c>
      <c r="K7" s="37" t="n"/>
      <c r="L7" s="37" t="n"/>
      <c r="M7" s="41">
        <f>IFERROR(D7/K7,"")</f>
        <v/>
      </c>
      <c r="N7" s="41">
        <f>IFERROR(D7/L7,"")</f>
        <v/>
      </c>
      <c r="O7" s="37" t="n"/>
      <c r="P7" s="40">
        <f>IFERROR(O7/D7-1,"")</f>
        <v/>
      </c>
      <c r="Q7" s="42">
        <f>IFERROR(IF(C7="USD",D7/$B$3,D7),"")</f>
        <v/>
      </c>
    </row>
    <row r="8">
      <c r="A8" s="15" t="inlineStr">
        <is>
          <t>MSFT</t>
        </is>
      </c>
      <c r="B8" s="27" t="inlineStr">
        <is>
          <t>Microsoft Corporation</t>
        </is>
      </c>
      <c r="C8" s="36" t="inlineStr">
        <is>
          <t>USD</t>
        </is>
      </c>
      <c r="D8" s="37" t="n">
        <v>477.2864</v>
      </c>
      <c r="E8" s="37" t="n"/>
      <c r="F8" s="38">
        <f>IF(E8="","",D8-E8)</f>
        <v/>
      </c>
      <c r="G8" s="39">
        <f>IFERROR(F8/E8,"")</f>
        <v/>
      </c>
      <c r="H8" s="37" t="n"/>
      <c r="I8" s="37" t="n"/>
      <c r="J8" s="40">
        <f>IFERROR(D8/H8-1,"")</f>
        <v/>
      </c>
      <c r="K8" s="37" t="n"/>
      <c r="L8" s="37" t="n"/>
      <c r="M8" s="41">
        <f>IFERROR(D8/K8,"")</f>
        <v/>
      </c>
      <c r="N8" s="41">
        <f>IFERROR(D8/L8,"")</f>
        <v/>
      </c>
      <c r="O8" s="37" t="n"/>
      <c r="P8" s="40">
        <f>IFERROR(O8/D8-1,"")</f>
        <v/>
      </c>
      <c r="Q8" s="42">
        <f>IFERROR(IF(C8="USD",D8/$B$3,D8),"")</f>
        <v/>
      </c>
    </row>
    <row r="9">
      <c r="A9" s="15" t="inlineStr">
        <is>
          <t>UBER</t>
        </is>
      </c>
      <c r="B9" s="27" t="inlineStr">
        <is>
          <t>Uber Technologies, Inc.</t>
        </is>
      </c>
      <c r="C9" s="36" t="inlineStr">
        <is>
          <t>USD</t>
        </is>
      </c>
      <c r="D9" s="37" t="n">
        <v>71.52930000000001</v>
      </c>
      <c r="E9" s="37" t="n"/>
      <c r="F9" s="38">
        <f>IF(E9="","",D9-E9)</f>
        <v/>
      </c>
      <c r="G9" s="39">
        <f>IFERROR(F9/E9,"")</f>
        <v/>
      </c>
      <c r="H9" s="37" t="n"/>
      <c r="I9" s="37" t="n"/>
      <c r="J9" s="40">
        <f>IFERROR(D9/H9-1,"")</f>
        <v/>
      </c>
      <c r="K9" s="37" t="n"/>
      <c r="L9" s="37" t="n"/>
      <c r="M9" s="41">
        <f>IFERROR(D9/K9,"")</f>
        <v/>
      </c>
      <c r="N9" s="41">
        <f>IFERROR(D9/L9,"")</f>
        <v/>
      </c>
      <c r="O9" s="37" t="n"/>
      <c r="P9" s="40">
        <f>IFERROR(O9/D9-1,"")</f>
        <v/>
      </c>
      <c r="Q9" s="42">
        <f>IFERROR(IF(C9="USD",D9/$B$3,D9),"")</f>
        <v/>
      </c>
    </row>
    <row r="11">
      <c r="A11" s="5" t="inlineStr">
        <is>
          <t>Yellow = you fill in. Everything black is calculated.</t>
        </is>
      </c>
    </row>
    <row r="12">
      <c r="A12" s="5" t="inlineStr">
        <is>
          <t>EPS, 52-week range and analyst target are blank by design — see README, Assumptions.</t>
        </is>
      </c>
    </row>
    <row r="13">
      <c r="A13" s="5" t="inlineStr">
        <is>
          <t>To wire these to a live feed, see README &gt; Making the prices live.</t>
        </is>
      </c>
    </row>
  </sheetData>
  <mergeCells count="1">
    <mergeCell ref="A1:Q1"/>
  </mergeCells>
  <conditionalFormatting sqref="F7:G9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F8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58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AMZN  —  Amazon.com, Inc.</t>
        </is>
      </c>
      <c r="B1" s="2" t="n"/>
      <c r="C1" s="2" t="n"/>
      <c r="D1" s="2" t="n"/>
      <c r="E1" s="2" t="n"/>
      <c r="F1" s="2" t="n"/>
    </row>
    <row r="3" ht="18" customHeight="1">
      <c r="A3" s="6" t="inlineStr">
        <is>
          <t>1.  POSITION</t>
        </is>
      </c>
      <c r="B3" s="7" t="n"/>
      <c r="C3" s="7" t="n"/>
      <c r="D3" s="7" t="n"/>
      <c r="E3" s="7" t="n"/>
      <c r="F3" s="7" t="n"/>
    </row>
    <row r="4">
      <c r="A4" s="27" t="inlineStr">
        <is>
          <t>Ticker</t>
        </is>
      </c>
      <c r="B4" s="15" t="inlineStr">
        <is>
          <t>AMZN</t>
        </is>
      </c>
    </row>
    <row r="5">
      <c r="A5" s="27" t="inlineStr">
        <is>
          <t>Company</t>
        </is>
      </c>
      <c r="B5" s="43" t="inlineStr">
        <is>
          <t>Amazon.com, Inc.</t>
        </is>
      </c>
    </row>
    <row r="6">
      <c r="A6" s="27" t="inlineStr">
        <is>
          <t>Sleeve / pie</t>
        </is>
      </c>
      <c r="B6" s="36" t="inlineStr">
        <is>
          <t>Never Sell</t>
        </is>
      </c>
      <c r="C6" s="5" t="inlineStr">
        <is>
          <t>Trading 212 pie this sits in</t>
        </is>
      </c>
    </row>
    <row r="7">
      <c r="A7" s="27" t="inlineStr">
        <is>
          <t>Quote currency</t>
        </is>
      </c>
      <c r="B7" s="17">
        <f>Prices!$C$7</f>
        <v/>
      </c>
    </row>
    <row r="8">
      <c r="A8" s="27" t="inlineStr">
        <is>
          <t>Shares held</t>
        </is>
      </c>
      <c r="B8" s="44">
        <f>SUMIFS(Transactions!$K$4:$K$63,Transactions!$B$4:$B$63,$B$4)</f>
        <v/>
      </c>
      <c r="C8" s="5" t="inlineStr">
        <is>
          <t>calculated from the Transactions log — never typed</t>
        </is>
      </c>
    </row>
    <row r="9">
      <c r="A9" s="27" t="inlineStr">
        <is>
          <t>Total invested (GBP)</t>
        </is>
      </c>
      <c r="B9" s="45">
        <f>SUMIFS(Transactions!$O$4:$O$63,Transactions!$B$4:$B$63,$B$4)</f>
        <v/>
      </c>
    </row>
    <row r="10">
      <c r="A10" s="27" t="inlineStr">
        <is>
          <t>Average cost per share (GBP)</t>
        </is>
      </c>
      <c r="B10" s="45">
        <f>IFERROR($B$9/$B$8,0)</f>
        <v/>
      </c>
    </row>
    <row r="11">
      <c r="A11" s="27" t="inlineStr">
        <is>
          <t>Live price (USD)</t>
        </is>
      </c>
      <c r="B11" s="46">
        <f>Prices!$D$7</f>
        <v/>
      </c>
      <c r="C11" s="5" t="inlineStr">
        <is>
          <t>update on the Prices tab</t>
        </is>
      </c>
    </row>
    <row r="12">
      <c r="A12" s="27" t="inlineStr">
        <is>
          <t>GBP/USD</t>
        </is>
      </c>
      <c r="B12" s="47">
        <f>Prices!$B$3</f>
        <v/>
      </c>
    </row>
    <row r="13">
      <c r="A13" s="27" t="inlineStr">
        <is>
          <t>Price per share (GBP)</t>
        </is>
      </c>
      <c r="B13" s="19">
        <f>Prices!$Q$7</f>
        <v/>
      </c>
    </row>
    <row r="14">
      <c r="A14" s="27" t="inlineStr">
        <is>
          <t>Market value (GBP)</t>
        </is>
      </c>
      <c r="B14" s="45">
        <f>$B$8*$B$13</f>
        <v/>
      </c>
    </row>
    <row r="15">
      <c r="A15" s="27" t="inlineStr">
        <is>
          <t>Unrealised P/L (GBP)</t>
        </is>
      </c>
      <c r="B15" s="45">
        <f>$B$14-$B$9</f>
        <v/>
      </c>
    </row>
    <row r="16">
      <c r="A16" s="27" t="inlineStr">
        <is>
          <t>Unrealised P/L %</t>
        </is>
      </c>
      <c r="B16" s="10">
        <f>IFERROR($B$15/$B$9,0)</f>
        <v/>
      </c>
    </row>
    <row r="17">
      <c r="A17" s="27" t="inlineStr">
        <is>
          <t>Day change (GBP)</t>
        </is>
      </c>
      <c r="B17" s="45">
        <f>IFERROR($B$8*Prices!$F$7/$B$12,0)</f>
        <v/>
      </c>
      <c r="C17" s="5" t="inlineStr">
        <is>
          <t>needs Prev close on the Prices tab</t>
        </is>
      </c>
    </row>
    <row r="18">
      <c r="A18" s="27" t="inlineStr">
        <is>
          <t>Day change %</t>
        </is>
      </c>
      <c r="B18" s="11">
        <f>IFERROR(Prices!$G$7,0)</f>
        <v/>
      </c>
    </row>
    <row r="19">
      <c r="A19" s="27" t="inlineStr">
        <is>
          <t>% of portfolio</t>
        </is>
      </c>
      <c r="B19" s="10">
        <f>IFERROR($B$14/Dashboard!$B$6,0)</f>
        <v/>
      </c>
      <c r="C19" s="5" t="inlineStr">
        <is>
          <t>share of total market value</t>
        </is>
      </c>
    </row>
    <row r="20">
      <c r="A20" s="27" t="inlineStr">
        <is>
          <t>Realised P/L (GBP)</t>
        </is>
      </c>
      <c r="B20" s="45">
        <f>SUMIFS(Transactions!$P$4:$P$63,Transactions!$B$4:$B$63,$B$4)</f>
        <v/>
      </c>
    </row>
    <row r="21">
      <c r="A21" s="27" t="inlineStr">
        <is>
          <t>Dividends received (GBP)</t>
        </is>
      </c>
      <c r="B21" s="45">
        <f>SUMIFS(Dividends!$H$4:$H$43,Dividends!$B$4:$B$43,$B$4)</f>
        <v/>
      </c>
    </row>
    <row r="22">
      <c r="A22" s="27" t="inlineStr">
        <is>
          <t>Total return (GBP)</t>
        </is>
      </c>
      <c r="B22" s="45">
        <f>$B$15+$B$20+$B$21</f>
        <v/>
      </c>
    </row>
    <row r="23">
      <c r="A23" s="27" t="inlineStr">
        <is>
          <t>Total return %</t>
        </is>
      </c>
      <c r="B23" s="10">
        <f>IFERROR($B$22/$B$9,0)</f>
        <v/>
      </c>
    </row>
    <row r="25" ht="18" customHeight="1">
      <c r="A25" s="6" t="inlineStr">
        <is>
          <t>2.  VALUATION AND EPS</t>
        </is>
      </c>
      <c r="B25" s="7" t="n"/>
      <c r="C25" s="7" t="n"/>
      <c r="D25" s="7" t="n"/>
      <c r="E25" s="7" t="n"/>
      <c r="F25" s="7" t="n"/>
    </row>
    <row r="26">
      <c r="A26" s="27" t="inlineStr">
        <is>
          <t>EPS trailing 12m (USD)</t>
        </is>
      </c>
      <c r="B26" s="46">
        <f>Prices!$K$7</f>
        <v/>
      </c>
      <c r="C26" s="5" t="inlineStr">
        <is>
          <t>enter on the Prices tab — blank by design, I do not invent financials</t>
        </is>
      </c>
    </row>
    <row r="27">
      <c r="A27" s="27" t="inlineStr">
        <is>
          <t>EPS forward, next FY (USD)</t>
        </is>
      </c>
      <c r="B27" s="46">
        <f>Prices!$L$7</f>
        <v/>
      </c>
      <c r="C27" s="5" t="inlineStr">
        <is>
          <t>consensus, from your broker's research tab</t>
        </is>
      </c>
    </row>
    <row r="28">
      <c r="A28" s="27" t="inlineStr">
        <is>
          <t>EPS growth, fwd vs TTM</t>
        </is>
      </c>
      <c r="B28" s="10">
        <f>IFERROR($B$27/$B$26-1,"")</f>
        <v/>
      </c>
    </row>
    <row r="29">
      <c r="A29" s="27" t="inlineStr">
        <is>
          <t>P/E trailing</t>
        </is>
      </c>
      <c r="B29" s="48">
        <f>Prices!$M$7</f>
        <v/>
      </c>
    </row>
    <row r="30">
      <c r="A30" s="27" t="inlineStr">
        <is>
          <t>P/E forward</t>
        </is>
      </c>
      <c r="B30" s="48">
        <f>Prices!$N$7</f>
        <v/>
      </c>
    </row>
    <row r="31">
      <c r="A31" s="27" t="inlineStr">
        <is>
          <t>PEG (fwd P/E / growth)</t>
        </is>
      </c>
      <c r="B31" s="49">
        <f>IFERROR($B$30/($B$28*100),"")</f>
        <v/>
      </c>
      <c r="C31" s="5" t="inlineStr">
        <is>
          <t>under 1.0 is the classic cheap-for-its-growth marker</t>
        </is>
      </c>
    </row>
    <row r="32">
      <c r="A32" s="27" t="inlineStr">
        <is>
          <t>Target P/E you would pay</t>
        </is>
      </c>
      <c r="B32" s="50" t="n"/>
      <c r="C32" s="5" t="inlineStr">
        <is>
          <t>your multiple — this drives fair value below</t>
        </is>
      </c>
    </row>
    <row r="33">
      <c r="A33" s="27" t="inlineStr">
        <is>
          <t>Fair value (USD)</t>
        </is>
      </c>
      <c r="B33" s="51">
        <f>IFERROR($B$32*$B$27,"")</f>
        <v/>
      </c>
      <c r="C33" s="5" t="inlineStr">
        <is>
          <t>target P/E x forward EPS</t>
        </is>
      </c>
    </row>
    <row r="34">
      <c r="A34" s="27" t="inlineStr">
        <is>
          <t>Fair value (GBP)</t>
        </is>
      </c>
      <c r="B34" s="45">
        <f>IFERROR($B$33/$B$12,"")</f>
        <v/>
      </c>
    </row>
    <row r="35">
      <c r="A35" s="27" t="inlineStr">
        <is>
          <t>Upside to fair value</t>
        </is>
      </c>
      <c r="B35" s="10">
        <f>IFERROR($B$33/$B$11-1,"")</f>
        <v/>
      </c>
    </row>
    <row r="36">
      <c r="A36" s="27" t="inlineStr">
        <is>
          <t>Valuation verdict</t>
        </is>
      </c>
      <c r="B36" s="15">
        <f>IF($B$35="","enter EPS and target P/E",IF($B$35&gt;=0.2,"UNDERVALUED",IF($B$35&lt;=-0.1,"OVERVALUED","FAIRLY VALUED")))</f>
        <v/>
      </c>
    </row>
    <row r="37">
      <c r="A37" s="27" t="inlineStr">
        <is>
          <t>Analyst price target (USD)</t>
        </is>
      </c>
      <c r="B37" s="46">
        <f>Prices!$O$7</f>
        <v/>
      </c>
    </row>
    <row r="38">
      <c r="A38" s="27" t="inlineStr">
        <is>
          <t>Upside to analyst target</t>
        </is>
      </c>
      <c r="B38" s="10">
        <f>IFERROR(Prices!$P$7,"")</f>
        <v/>
      </c>
    </row>
    <row r="39">
      <c r="A39" s="27" t="inlineStr">
        <is>
          <t>52-week high (USD)</t>
        </is>
      </c>
      <c r="B39" s="46">
        <f>Prices!$H$7</f>
        <v/>
      </c>
    </row>
    <row r="40">
      <c r="A40" s="27" t="inlineStr">
        <is>
          <t>52-week low (USD)</t>
        </is>
      </c>
      <c r="B40" s="46">
        <f>Prices!$I$7</f>
        <v/>
      </c>
    </row>
    <row r="41">
      <c r="A41" s="27" t="inlineStr">
        <is>
          <t>% below 52-week high</t>
        </is>
      </c>
      <c r="B41" s="10">
        <f>IFERROR(Prices!$J$7,"")</f>
        <v/>
      </c>
    </row>
    <row r="43" ht="18" customHeight="1">
      <c r="A43" s="6" t="inlineStr">
        <is>
          <t>3.  SELL DISCIPLINE  —  the exit plan, decided in advance</t>
        </is>
      </c>
      <c r="B43" s="7" t="n"/>
      <c r="C43" s="7" t="n"/>
      <c r="D43" s="7" t="n"/>
      <c r="E43" s="7" t="n"/>
      <c r="F43" s="7" t="n"/>
    </row>
    <row r="44">
      <c r="A44" s="27" t="inlineStr">
        <is>
          <t>Take-profit target %</t>
        </is>
      </c>
      <c r="B44" s="20">
        <f>Sell_Rules!$B$5</f>
        <v/>
      </c>
      <c r="C44" s="5" t="inlineStr">
        <is>
          <t>inherits Sell_Rules — type over it to override</t>
        </is>
      </c>
    </row>
    <row r="45">
      <c r="A45" s="27" t="inlineStr">
        <is>
          <t>Take-profit price (GBP)</t>
        </is>
      </c>
      <c r="B45" s="45">
        <f>$B$10*(1+$B$44)</f>
        <v/>
      </c>
    </row>
    <row r="46">
      <c r="A46" s="27" t="inlineStr">
        <is>
          <t>Trim level 1 %</t>
        </is>
      </c>
      <c r="B46" s="20">
        <f>Sell_Rules!$B$6</f>
        <v/>
      </c>
    </row>
    <row r="47">
      <c r="A47" s="27" t="inlineStr">
        <is>
          <t>Trim 1 price (GBP)</t>
        </is>
      </c>
      <c r="B47" s="45">
        <f>$B$10*(1+$B$46)</f>
        <v/>
      </c>
    </row>
    <row r="48">
      <c r="A48" s="27" t="inlineStr">
        <is>
          <t>Trim level 2 %</t>
        </is>
      </c>
      <c r="B48" s="20">
        <f>Sell_Rules!$B$7</f>
        <v/>
      </c>
    </row>
    <row r="49">
      <c r="A49" s="27" t="inlineStr">
        <is>
          <t>Trim 2 price (GBP)</t>
        </is>
      </c>
      <c r="B49" s="45">
        <f>$B$10*(1+$B$48)</f>
        <v/>
      </c>
    </row>
    <row r="50">
      <c r="A50" s="27" t="inlineStr">
        <is>
          <t>Stop loss %</t>
        </is>
      </c>
      <c r="B50" s="20">
        <f>Sell_Rules!$B$8</f>
        <v/>
      </c>
    </row>
    <row r="51">
      <c r="A51" s="27" t="inlineStr">
        <is>
          <t>Stop-loss price (GBP)</t>
        </is>
      </c>
      <c r="B51" s="45">
        <f>$B$10*(1-$B$50)</f>
        <v/>
      </c>
    </row>
    <row r="52">
      <c r="A52" s="27" t="inlineStr">
        <is>
          <t>Trailing stop % off 52w high</t>
        </is>
      </c>
      <c r="B52" s="20">
        <f>Sell_Rules!$B$9</f>
        <v/>
      </c>
    </row>
    <row r="53">
      <c r="A53" s="27" t="inlineStr">
        <is>
          <t>Trailing stop price (GBP)</t>
        </is>
      </c>
      <c r="B53" s="45">
        <f>IFERROR($B$39/$B$12*(1-$B$52),0)</f>
        <v/>
      </c>
      <c r="C53" s="5" t="inlineStr">
        <is>
          <t>0 until you enter the 52-week high on the Prices tab</t>
        </is>
      </c>
    </row>
    <row r="54">
      <c r="A54" s="27" t="inlineStr">
        <is>
          <t>Manual sell price (GBP)</t>
        </is>
      </c>
      <c r="B54" s="52" t="n"/>
      <c r="C54" s="5" t="inlineStr">
        <is>
          <t>optional hard number that overrides everything above</t>
        </is>
      </c>
    </row>
    <row r="55" ht="22" customHeight="1">
      <c r="A55" s="21" t="inlineStr">
        <is>
          <t>SIGNAL</t>
        </is>
      </c>
      <c r="B55" s="53">
        <f>IF($B$8=0,"NO POSITION",IF(AND($B$54&gt;0,$B$13&gt;=$B$54),"SELL - MANUAL TARGET",IF($B$13&lt;=$B$51,"SELL - STOP LOSS",IF($B$13&gt;=$B$45,"SELL - TARGET HIT",IF($B$13&gt;=$B$49,"TRIM 2",IF($B$13&gt;=$B$47,"TRIM 1",IF(AND($B$53&gt;0,$B$13&lt;=$B$53),"REVIEW - TRAILING STOP","HOLD")))))))</f>
        <v/>
      </c>
      <c r="C55" s="5" t="inlineStr">
        <is>
          <t>recalculated the moment the price changes</t>
        </is>
      </c>
    </row>
    <row r="56">
      <c r="A56" s="27" t="inlineStr">
        <is>
          <t>Value if sold today (GBP)</t>
        </is>
      </c>
      <c r="B56" s="45">
        <f>$B$14</f>
        <v/>
      </c>
    </row>
    <row r="57">
      <c r="A57" s="27" t="inlineStr">
        <is>
          <t>Estimated selling costs (GBP)</t>
        </is>
      </c>
      <c r="B57" s="52" t="n">
        <v>0</v>
      </c>
      <c r="C57" s="5" t="inlineStr">
        <is>
          <t>FX charge / commission — Trading 212 FX fee is 0.15% of the trade</t>
        </is>
      </c>
    </row>
    <row r="58">
      <c r="A58" s="27" t="inlineStr">
        <is>
          <t>Net proceeds if sold (GBP)</t>
        </is>
      </c>
      <c r="B58" s="45">
        <f>$B$56-$B$57</f>
        <v/>
      </c>
    </row>
    <row r="59">
      <c r="A59" s="27" t="inlineStr">
        <is>
          <t>Gain locked in if sold (GBP)</t>
        </is>
      </c>
      <c r="B59" s="45">
        <f>$B$58-$B$9</f>
        <v/>
      </c>
    </row>
    <row r="60">
      <c r="A60" s="27" t="inlineStr">
        <is>
          <t>Gain locked in %</t>
        </is>
      </c>
      <c r="B60" s="10">
        <f>IFERROR($B$59/$B$9,0)</f>
        <v/>
      </c>
    </row>
    <row r="62" ht="18" customHeight="1">
      <c r="A62" s="6" t="inlineStr">
        <is>
          <t>4.  DIVIDEND INCOME</t>
        </is>
      </c>
      <c r="B62" s="7" t="n"/>
      <c r="C62" s="7" t="n"/>
      <c r="D62" s="7" t="n"/>
      <c r="E62" s="7" t="n"/>
      <c r="F62" s="7" t="n"/>
    </row>
    <row r="63">
      <c r="A63" s="27" t="inlineStr">
        <is>
          <t>Annual dividend per share (USD)</t>
        </is>
      </c>
      <c r="B63" s="54" t="n"/>
      <c r="C63" s="5" t="inlineStr">
        <is>
          <t>0 if it does not pay one</t>
        </is>
      </c>
    </row>
    <row r="64">
      <c r="A64" s="27" t="inlineStr">
        <is>
          <t>Dividend yield on price</t>
        </is>
      </c>
      <c r="B64" s="11">
        <f>IFERROR($B$63/$B$11,0)</f>
        <v/>
      </c>
    </row>
    <row r="65">
      <c r="A65" s="27" t="inlineStr">
        <is>
          <t>Yield on your cost</t>
        </is>
      </c>
      <c r="B65" s="11">
        <f>IFERROR($B$63/$B$12/$B$10,0)</f>
        <v/>
      </c>
      <c r="C65" s="5" t="inlineStr">
        <is>
          <t>the number that actually matters once you are in profit</t>
        </is>
      </c>
    </row>
    <row r="66">
      <c r="A66" s="27" t="inlineStr">
        <is>
          <t>Estimated annual income (GBP)</t>
        </is>
      </c>
      <c r="B66" s="45">
        <f>IFERROR($B$8*$B$63/$B$12,0)</f>
        <v/>
      </c>
    </row>
    <row r="67">
      <c r="A67" s="27" t="inlineStr">
        <is>
          <t>Dividends received to date (GBP)</t>
        </is>
      </c>
      <c r="B67" s="45">
        <f>$B$21</f>
        <v/>
      </c>
    </row>
    <row r="69" ht="18" customHeight="1">
      <c r="A69" s="6" t="inlineStr">
        <is>
          <t>5.  TRADE HISTORY  —  summarised from the Transactions log</t>
        </is>
      </c>
      <c r="B69" s="7" t="n"/>
      <c r="C69" s="7" t="n"/>
      <c r="D69" s="7" t="n"/>
      <c r="E69" s="7" t="n"/>
      <c r="F69" s="7" t="n"/>
    </row>
    <row r="70">
      <c r="A70" s="27" t="inlineStr">
        <is>
          <t>Number of trades</t>
        </is>
      </c>
      <c r="B70" s="12">
        <f>COUNTIFS(Transactions!$B$4:$B$63,$B$4)</f>
        <v/>
      </c>
    </row>
    <row r="71">
      <c r="A71" s="27" t="inlineStr">
        <is>
          <t>Shares bought</t>
        </is>
      </c>
      <c r="B71" s="44">
        <f>SUMIFS(Transactions!$D$4:$D$63,Transactions!$B$4:$B$63,$B$4,Transactions!$C$4:$C$63,"BUY")</f>
        <v/>
      </c>
    </row>
    <row r="72">
      <c r="A72" s="27" t="inlineStr">
        <is>
          <t>Shares sold</t>
        </is>
      </c>
      <c r="B72" s="44">
        <f>SUMIFS(Transactions!$D$4:$D$63,Transactions!$B$4:$B$63,$B$4,Transactions!$C$4:$C$63,"SELL")</f>
        <v/>
      </c>
    </row>
    <row r="73">
      <c r="A73" s="27" t="inlineStr">
        <is>
          <t>Total cash invested (GBP)</t>
        </is>
      </c>
      <c r="B73" s="45">
        <f>SUMIFS(Transactions!$J$4:$J$63,Transactions!$B$4:$B$63,$B$4,Transactions!$C$4:$C$63,"BUY")</f>
        <v/>
      </c>
    </row>
    <row r="74">
      <c r="A74" s="27" t="inlineStr">
        <is>
          <t>Total cash from sales (GBP)</t>
        </is>
      </c>
      <c r="B74" s="45">
        <f>SUMIFS(Transactions!$J$4:$J$63,Transactions!$B$4:$B$63,$B$4,Transactions!$C$4:$C$63,"SELL")</f>
        <v/>
      </c>
    </row>
    <row r="75">
      <c r="A75" s="27" t="inlineStr">
        <is>
          <t>Total fees paid (GBP)</t>
        </is>
      </c>
      <c r="B75" s="45">
        <f>SUMIFS(Transactions!$I$4:$I$63,Transactions!$B$4:$B$63,$B$4)</f>
        <v/>
      </c>
    </row>
    <row r="77" ht="18" customHeight="1">
      <c r="A77" s="6" t="inlineStr">
        <is>
          <t>6.  THESIS AND NOTES</t>
        </is>
      </c>
      <c r="B77" s="7" t="n"/>
      <c r="C77" s="7" t="n"/>
      <c r="D77" s="7" t="n"/>
      <c r="E77" s="7" t="n"/>
      <c r="F77" s="7" t="n"/>
    </row>
    <row r="78">
      <c r="A78" s="27" t="inlineStr">
        <is>
          <t>Why I own it</t>
        </is>
      </c>
      <c r="B78" s="26" t="n"/>
      <c r="C78" s="55" t="n"/>
      <c r="D78" s="5" t="inlineStr">
        <is>
          <t>the one-line reason — if you cannot write it, you should not hold it</t>
        </is>
      </c>
    </row>
    <row r="79">
      <c r="A79" s="27" t="inlineStr">
        <is>
          <t>What would make me sell</t>
        </is>
      </c>
      <c r="B79" s="26" t="n"/>
      <c r="C79" s="55" t="n"/>
      <c r="D79" s="5" t="inlineStr">
        <is>
          <t>name the broken thing, not a price</t>
        </is>
      </c>
    </row>
    <row r="80">
      <c r="A80" s="27" t="inlineStr">
        <is>
          <t>Key risk</t>
        </is>
      </c>
      <c r="B80" s="26" t="n"/>
      <c r="C80" s="55" t="n"/>
    </row>
    <row r="81">
      <c r="A81" s="27" t="inlineStr">
        <is>
          <t>Next catalyst / earnings date</t>
        </is>
      </c>
      <c r="B81" s="26" t="n"/>
      <c r="C81" s="55" t="n"/>
    </row>
    <row r="82">
      <c r="A82" s="27" t="inlineStr">
        <is>
          <t>Last reviewed</t>
        </is>
      </c>
      <c r="B82" s="26" t="n"/>
      <c r="C82" s="55" t="n"/>
    </row>
  </sheetData>
  <mergeCells count="12">
    <mergeCell ref="B79:C79"/>
    <mergeCell ref="B78:C78"/>
    <mergeCell ref="B80:C80"/>
    <mergeCell ref="A1:F1"/>
    <mergeCell ref="B81:C81"/>
    <mergeCell ref="A62:F62"/>
    <mergeCell ref="A3:F3"/>
    <mergeCell ref="A77:F77"/>
    <mergeCell ref="A69:F69"/>
    <mergeCell ref="B82:C82"/>
    <mergeCell ref="A25:F25"/>
    <mergeCell ref="A43:F43"/>
  </mergeCells>
  <conditionalFormatting sqref="B15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B16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B22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B23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B20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B17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B18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B59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B60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B55">
    <cfRule type="expression" priority="19" dxfId="5">
      <formula>ISNUMBER(SEARCH("SELL",B55))</formula>
    </cfRule>
    <cfRule type="expression" priority="20" dxfId="6">
      <formula>ISNUMBER(SEARCH("TRIM",B55))</formula>
    </cfRule>
    <cfRule type="expression" priority="21" dxfId="6">
      <formula>ISNUMBER(SEARCH("REVIEW",B55))</formula>
    </cfRule>
    <cfRule type="expression" priority="22" dxfId="7">
      <formula>EXACT(B55,"HOLD")</formula>
    </cfRule>
  </conditionalFormatting>
  <conditionalFormatting sqref="B36">
    <cfRule type="expression" priority="23" dxfId="8">
      <formula>EXACT(B36,"UNDERVALUED")</formula>
    </cfRule>
    <cfRule type="expression" priority="24" dxfId="9">
      <formula>EXACT(B36,"OVERVALUED")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F8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58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MSFT  —  Microsoft Corporation</t>
        </is>
      </c>
      <c r="B1" s="2" t="n"/>
      <c r="C1" s="2" t="n"/>
      <c r="D1" s="2" t="n"/>
      <c r="E1" s="2" t="n"/>
      <c r="F1" s="2" t="n"/>
    </row>
    <row r="3" ht="18" customHeight="1">
      <c r="A3" s="6" t="inlineStr">
        <is>
          <t>1.  POSITION</t>
        </is>
      </c>
      <c r="B3" s="7" t="n"/>
      <c r="C3" s="7" t="n"/>
      <c r="D3" s="7" t="n"/>
      <c r="E3" s="7" t="n"/>
      <c r="F3" s="7" t="n"/>
    </row>
    <row r="4">
      <c r="A4" s="27" t="inlineStr">
        <is>
          <t>Ticker</t>
        </is>
      </c>
      <c r="B4" s="15" t="inlineStr">
        <is>
          <t>MSFT</t>
        </is>
      </c>
    </row>
    <row r="5">
      <c r="A5" s="27" t="inlineStr">
        <is>
          <t>Company</t>
        </is>
      </c>
      <c r="B5" s="43" t="inlineStr">
        <is>
          <t>Microsoft Corporation</t>
        </is>
      </c>
    </row>
    <row r="6">
      <c r="A6" s="27" t="inlineStr">
        <is>
          <t>Sleeve / pie</t>
        </is>
      </c>
      <c r="B6" s="36" t="inlineStr">
        <is>
          <t>Never Sell</t>
        </is>
      </c>
      <c r="C6" s="5" t="inlineStr">
        <is>
          <t>Trading 212 pie this sits in</t>
        </is>
      </c>
    </row>
    <row r="7">
      <c r="A7" s="27" t="inlineStr">
        <is>
          <t>Quote currency</t>
        </is>
      </c>
      <c r="B7" s="17">
        <f>Prices!$C$8</f>
        <v/>
      </c>
    </row>
    <row r="8">
      <c r="A8" s="27" t="inlineStr">
        <is>
          <t>Shares held</t>
        </is>
      </c>
      <c r="B8" s="44">
        <f>SUMIFS(Transactions!$K$4:$K$63,Transactions!$B$4:$B$63,$B$4)</f>
        <v/>
      </c>
      <c r="C8" s="5" t="inlineStr">
        <is>
          <t>calculated from the Transactions log — never typed</t>
        </is>
      </c>
    </row>
    <row r="9">
      <c r="A9" s="27" t="inlineStr">
        <is>
          <t>Total invested (GBP)</t>
        </is>
      </c>
      <c r="B9" s="45">
        <f>SUMIFS(Transactions!$O$4:$O$63,Transactions!$B$4:$B$63,$B$4)</f>
        <v/>
      </c>
    </row>
    <row r="10">
      <c r="A10" s="27" t="inlineStr">
        <is>
          <t>Average cost per share (GBP)</t>
        </is>
      </c>
      <c r="B10" s="45">
        <f>IFERROR($B$9/$B$8,0)</f>
        <v/>
      </c>
    </row>
    <row r="11">
      <c r="A11" s="27" t="inlineStr">
        <is>
          <t>Live price (USD)</t>
        </is>
      </c>
      <c r="B11" s="46">
        <f>Prices!$D$8</f>
        <v/>
      </c>
      <c r="C11" s="5" t="inlineStr">
        <is>
          <t>update on the Prices tab</t>
        </is>
      </c>
    </row>
    <row r="12">
      <c r="A12" s="27" t="inlineStr">
        <is>
          <t>GBP/USD</t>
        </is>
      </c>
      <c r="B12" s="47">
        <f>Prices!$B$3</f>
        <v/>
      </c>
    </row>
    <row r="13">
      <c r="A13" s="27" t="inlineStr">
        <is>
          <t>Price per share (GBP)</t>
        </is>
      </c>
      <c r="B13" s="19">
        <f>Prices!$Q$8</f>
        <v/>
      </c>
    </row>
    <row r="14">
      <c r="A14" s="27" t="inlineStr">
        <is>
          <t>Market value (GBP)</t>
        </is>
      </c>
      <c r="B14" s="45">
        <f>$B$8*$B$13</f>
        <v/>
      </c>
    </row>
    <row r="15">
      <c r="A15" s="27" t="inlineStr">
        <is>
          <t>Unrealised P/L (GBP)</t>
        </is>
      </c>
      <c r="B15" s="45">
        <f>$B$14-$B$9</f>
        <v/>
      </c>
    </row>
    <row r="16">
      <c r="A16" s="27" t="inlineStr">
        <is>
          <t>Unrealised P/L %</t>
        </is>
      </c>
      <c r="B16" s="10">
        <f>IFERROR($B$15/$B$9,0)</f>
        <v/>
      </c>
    </row>
    <row r="17">
      <c r="A17" s="27" t="inlineStr">
        <is>
          <t>Day change (GBP)</t>
        </is>
      </c>
      <c r="B17" s="45">
        <f>IFERROR($B$8*Prices!$F$8/$B$12,0)</f>
        <v/>
      </c>
      <c r="C17" s="5" t="inlineStr">
        <is>
          <t>needs Prev close on the Prices tab</t>
        </is>
      </c>
    </row>
    <row r="18">
      <c r="A18" s="27" t="inlineStr">
        <is>
          <t>Day change %</t>
        </is>
      </c>
      <c r="B18" s="11">
        <f>IFERROR(Prices!$G$8,0)</f>
        <v/>
      </c>
    </row>
    <row r="19">
      <c r="A19" s="27" t="inlineStr">
        <is>
          <t>% of portfolio</t>
        </is>
      </c>
      <c r="B19" s="10">
        <f>IFERROR($B$14/Dashboard!$B$6,0)</f>
        <v/>
      </c>
      <c r="C19" s="5" t="inlineStr">
        <is>
          <t>share of total market value</t>
        </is>
      </c>
    </row>
    <row r="20">
      <c r="A20" s="27" t="inlineStr">
        <is>
          <t>Realised P/L (GBP)</t>
        </is>
      </c>
      <c r="B20" s="45">
        <f>SUMIFS(Transactions!$P$4:$P$63,Transactions!$B$4:$B$63,$B$4)</f>
        <v/>
      </c>
    </row>
    <row r="21">
      <c r="A21" s="27" t="inlineStr">
        <is>
          <t>Dividends received (GBP)</t>
        </is>
      </c>
      <c r="B21" s="45">
        <f>SUMIFS(Dividends!$H$4:$H$43,Dividends!$B$4:$B$43,$B$4)</f>
        <v/>
      </c>
    </row>
    <row r="22">
      <c r="A22" s="27" t="inlineStr">
        <is>
          <t>Total return (GBP)</t>
        </is>
      </c>
      <c r="B22" s="45">
        <f>$B$15+$B$20+$B$21</f>
        <v/>
      </c>
    </row>
    <row r="23">
      <c r="A23" s="27" t="inlineStr">
        <is>
          <t>Total return %</t>
        </is>
      </c>
      <c r="B23" s="10">
        <f>IFERROR($B$22/$B$9,0)</f>
        <v/>
      </c>
    </row>
    <row r="25" ht="18" customHeight="1">
      <c r="A25" s="6" t="inlineStr">
        <is>
          <t>2.  VALUATION AND EPS</t>
        </is>
      </c>
      <c r="B25" s="7" t="n"/>
      <c r="C25" s="7" t="n"/>
      <c r="D25" s="7" t="n"/>
      <c r="E25" s="7" t="n"/>
      <c r="F25" s="7" t="n"/>
    </row>
    <row r="26">
      <c r="A26" s="27" t="inlineStr">
        <is>
          <t>EPS trailing 12m (USD)</t>
        </is>
      </c>
      <c r="B26" s="46">
        <f>Prices!$K$8</f>
        <v/>
      </c>
      <c r="C26" s="5" t="inlineStr">
        <is>
          <t>enter on the Prices tab — blank by design, I do not invent financials</t>
        </is>
      </c>
    </row>
    <row r="27">
      <c r="A27" s="27" t="inlineStr">
        <is>
          <t>EPS forward, next FY (USD)</t>
        </is>
      </c>
      <c r="B27" s="46">
        <f>Prices!$L$8</f>
        <v/>
      </c>
      <c r="C27" s="5" t="inlineStr">
        <is>
          <t>consensus, from your broker's research tab</t>
        </is>
      </c>
    </row>
    <row r="28">
      <c r="A28" s="27" t="inlineStr">
        <is>
          <t>EPS growth, fwd vs TTM</t>
        </is>
      </c>
      <c r="B28" s="10">
        <f>IFERROR($B$27/$B$26-1,"")</f>
        <v/>
      </c>
    </row>
    <row r="29">
      <c r="A29" s="27" t="inlineStr">
        <is>
          <t>P/E trailing</t>
        </is>
      </c>
      <c r="B29" s="48">
        <f>Prices!$M$8</f>
        <v/>
      </c>
    </row>
    <row r="30">
      <c r="A30" s="27" t="inlineStr">
        <is>
          <t>P/E forward</t>
        </is>
      </c>
      <c r="B30" s="48">
        <f>Prices!$N$8</f>
        <v/>
      </c>
    </row>
    <row r="31">
      <c r="A31" s="27" t="inlineStr">
        <is>
          <t>PEG (fwd P/E / growth)</t>
        </is>
      </c>
      <c r="B31" s="49">
        <f>IFERROR($B$30/($B$28*100),"")</f>
        <v/>
      </c>
      <c r="C31" s="5" t="inlineStr">
        <is>
          <t>under 1.0 is the classic cheap-for-its-growth marker</t>
        </is>
      </c>
    </row>
    <row r="32">
      <c r="A32" s="27" t="inlineStr">
        <is>
          <t>Target P/E you would pay</t>
        </is>
      </c>
      <c r="B32" s="50" t="n"/>
      <c r="C32" s="5" t="inlineStr">
        <is>
          <t>your multiple — this drives fair value below</t>
        </is>
      </c>
    </row>
    <row r="33">
      <c r="A33" s="27" t="inlineStr">
        <is>
          <t>Fair value (USD)</t>
        </is>
      </c>
      <c r="B33" s="51">
        <f>IFERROR($B$32*$B$27,"")</f>
        <v/>
      </c>
      <c r="C33" s="5" t="inlineStr">
        <is>
          <t>target P/E x forward EPS</t>
        </is>
      </c>
    </row>
    <row r="34">
      <c r="A34" s="27" t="inlineStr">
        <is>
          <t>Fair value (GBP)</t>
        </is>
      </c>
      <c r="B34" s="45">
        <f>IFERROR($B$33/$B$12,"")</f>
        <v/>
      </c>
    </row>
    <row r="35">
      <c r="A35" s="27" t="inlineStr">
        <is>
          <t>Upside to fair value</t>
        </is>
      </c>
      <c r="B35" s="10">
        <f>IFERROR($B$33/$B$11-1,"")</f>
        <v/>
      </c>
    </row>
    <row r="36">
      <c r="A36" s="27" t="inlineStr">
        <is>
          <t>Valuation verdict</t>
        </is>
      </c>
      <c r="B36" s="15">
        <f>IF($B$35="","enter EPS and target P/E",IF($B$35&gt;=0.2,"UNDERVALUED",IF($B$35&lt;=-0.1,"OVERVALUED","FAIRLY VALUED")))</f>
        <v/>
      </c>
    </row>
    <row r="37">
      <c r="A37" s="27" t="inlineStr">
        <is>
          <t>Analyst price target (USD)</t>
        </is>
      </c>
      <c r="B37" s="46">
        <f>Prices!$O$8</f>
        <v/>
      </c>
    </row>
    <row r="38">
      <c r="A38" s="27" t="inlineStr">
        <is>
          <t>Upside to analyst target</t>
        </is>
      </c>
      <c r="B38" s="10">
        <f>IFERROR(Prices!$P$8,"")</f>
        <v/>
      </c>
    </row>
    <row r="39">
      <c r="A39" s="27" t="inlineStr">
        <is>
          <t>52-week high (USD)</t>
        </is>
      </c>
      <c r="B39" s="46">
        <f>Prices!$H$8</f>
        <v/>
      </c>
    </row>
    <row r="40">
      <c r="A40" s="27" t="inlineStr">
        <is>
          <t>52-week low (USD)</t>
        </is>
      </c>
      <c r="B40" s="46">
        <f>Prices!$I$8</f>
        <v/>
      </c>
    </row>
    <row r="41">
      <c r="A41" s="27" t="inlineStr">
        <is>
          <t>% below 52-week high</t>
        </is>
      </c>
      <c r="B41" s="10">
        <f>IFERROR(Prices!$J$8,"")</f>
        <v/>
      </c>
    </row>
    <row r="43" ht="18" customHeight="1">
      <c r="A43" s="6" t="inlineStr">
        <is>
          <t>3.  SELL DISCIPLINE  —  the exit plan, decided in advance</t>
        </is>
      </c>
      <c r="B43" s="7" t="n"/>
      <c r="C43" s="7" t="n"/>
      <c r="D43" s="7" t="n"/>
      <c r="E43" s="7" t="n"/>
      <c r="F43" s="7" t="n"/>
    </row>
    <row r="44">
      <c r="A44" s="27" t="inlineStr">
        <is>
          <t>Take-profit target %</t>
        </is>
      </c>
      <c r="B44" s="20">
        <f>Sell_Rules!$B$5</f>
        <v/>
      </c>
      <c r="C44" s="5" t="inlineStr">
        <is>
          <t>inherits Sell_Rules — type over it to override</t>
        </is>
      </c>
    </row>
    <row r="45">
      <c r="A45" s="27" t="inlineStr">
        <is>
          <t>Take-profit price (GBP)</t>
        </is>
      </c>
      <c r="B45" s="45">
        <f>$B$10*(1+$B$44)</f>
        <v/>
      </c>
    </row>
    <row r="46">
      <c r="A46" s="27" t="inlineStr">
        <is>
          <t>Trim level 1 %</t>
        </is>
      </c>
      <c r="B46" s="20">
        <f>Sell_Rules!$B$6</f>
        <v/>
      </c>
    </row>
    <row r="47">
      <c r="A47" s="27" t="inlineStr">
        <is>
          <t>Trim 1 price (GBP)</t>
        </is>
      </c>
      <c r="B47" s="45">
        <f>$B$10*(1+$B$46)</f>
        <v/>
      </c>
    </row>
    <row r="48">
      <c r="A48" s="27" t="inlineStr">
        <is>
          <t>Trim level 2 %</t>
        </is>
      </c>
      <c r="B48" s="20">
        <f>Sell_Rules!$B$7</f>
        <v/>
      </c>
    </row>
    <row r="49">
      <c r="A49" s="27" t="inlineStr">
        <is>
          <t>Trim 2 price (GBP)</t>
        </is>
      </c>
      <c r="B49" s="45">
        <f>$B$10*(1+$B$48)</f>
        <v/>
      </c>
    </row>
    <row r="50">
      <c r="A50" s="27" t="inlineStr">
        <is>
          <t>Stop loss %</t>
        </is>
      </c>
      <c r="B50" s="20">
        <f>Sell_Rules!$B$8</f>
        <v/>
      </c>
    </row>
    <row r="51">
      <c r="A51" s="27" t="inlineStr">
        <is>
          <t>Stop-loss price (GBP)</t>
        </is>
      </c>
      <c r="B51" s="45">
        <f>$B$10*(1-$B$50)</f>
        <v/>
      </c>
    </row>
    <row r="52">
      <c r="A52" s="27" t="inlineStr">
        <is>
          <t>Trailing stop % off 52w high</t>
        </is>
      </c>
      <c r="B52" s="20">
        <f>Sell_Rules!$B$9</f>
        <v/>
      </c>
    </row>
    <row r="53">
      <c r="A53" s="27" t="inlineStr">
        <is>
          <t>Trailing stop price (GBP)</t>
        </is>
      </c>
      <c r="B53" s="45">
        <f>IFERROR($B$39/$B$12*(1-$B$52),0)</f>
        <v/>
      </c>
      <c r="C53" s="5" t="inlineStr">
        <is>
          <t>0 until you enter the 52-week high on the Prices tab</t>
        </is>
      </c>
    </row>
    <row r="54">
      <c r="A54" s="27" t="inlineStr">
        <is>
          <t>Manual sell price (GBP)</t>
        </is>
      </c>
      <c r="B54" s="52" t="n"/>
      <c r="C54" s="5" t="inlineStr">
        <is>
          <t>optional hard number that overrides everything above</t>
        </is>
      </c>
    </row>
    <row r="55" ht="22" customHeight="1">
      <c r="A55" s="21" t="inlineStr">
        <is>
          <t>SIGNAL</t>
        </is>
      </c>
      <c r="B55" s="53">
        <f>IF($B$8=0,"NO POSITION",IF(AND($B$54&gt;0,$B$13&gt;=$B$54),"SELL - MANUAL TARGET",IF($B$13&lt;=$B$51,"SELL - STOP LOSS",IF($B$13&gt;=$B$45,"SELL - TARGET HIT",IF($B$13&gt;=$B$49,"TRIM 2",IF($B$13&gt;=$B$47,"TRIM 1",IF(AND($B$53&gt;0,$B$13&lt;=$B$53),"REVIEW - TRAILING STOP","HOLD")))))))</f>
        <v/>
      </c>
      <c r="C55" s="5" t="inlineStr">
        <is>
          <t>recalculated the moment the price changes</t>
        </is>
      </c>
    </row>
    <row r="56">
      <c r="A56" s="27" t="inlineStr">
        <is>
          <t>Value if sold today (GBP)</t>
        </is>
      </c>
      <c r="B56" s="45">
        <f>$B$14</f>
        <v/>
      </c>
    </row>
    <row r="57">
      <c r="A57" s="27" t="inlineStr">
        <is>
          <t>Estimated selling costs (GBP)</t>
        </is>
      </c>
      <c r="B57" s="52" t="n">
        <v>0</v>
      </c>
      <c r="C57" s="5" t="inlineStr">
        <is>
          <t>FX charge / commission — Trading 212 FX fee is 0.15% of the trade</t>
        </is>
      </c>
    </row>
    <row r="58">
      <c r="A58" s="27" t="inlineStr">
        <is>
          <t>Net proceeds if sold (GBP)</t>
        </is>
      </c>
      <c r="B58" s="45">
        <f>$B$56-$B$57</f>
        <v/>
      </c>
    </row>
    <row r="59">
      <c r="A59" s="27" t="inlineStr">
        <is>
          <t>Gain locked in if sold (GBP)</t>
        </is>
      </c>
      <c r="B59" s="45">
        <f>$B$58-$B$9</f>
        <v/>
      </c>
    </row>
    <row r="60">
      <c r="A60" s="27" t="inlineStr">
        <is>
          <t>Gain locked in %</t>
        </is>
      </c>
      <c r="B60" s="10">
        <f>IFERROR($B$59/$B$9,0)</f>
        <v/>
      </c>
    </row>
    <row r="62" ht="18" customHeight="1">
      <c r="A62" s="6" t="inlineStr">
        <is>
          <t>4.  DIVIDEND INCOME</t>
        </is>
      </c>
      <c r="B62" s="7" t="n"/>
      <c r="C62" s="7" t="n"/>
      <c r="D62" s="7" t="n"/>
      <c r="E62" s="7" t="n"/>
      <c r="F62" s="7" t="n"/>
    </row>
    <row r="63">
      <c r="A63" s="27" t="inlineStr">
        <is>
          <t>Annual dividend per share (USD)</t>
        </is>
      </c>
      <c r="B63" s="54" t="n"/>
      <c r="C63" s="5" t="inlineStr">
        <is>
          <t>0 if it does not pay one</t>
        </is>
      </c>
    </row>
    <row r="64">
      <c r="A64" s="27" t="inlineStr">
        <is>
          <t>Dividend yield on price</t>
        </is>
      </c>
      <c r="B64" s="11">
        <f>IFERROR($B$63/$B$11,0)</f>
        <v/>
      </c>
    </row>
    <row r="65">
      <c r="A65" s="27" t="inlineStr">
        <is>
          <t>Yield on your cost</t>
        </is>
      </c>
      <c r="B65" s="11">
        <f>IFERROR($B$63/$B$12/$B$10,0)</f>
        <v/>
      </c>
      <c r="C65" s="5" t="inlineStr">
        <is>
          <t>the number that actually matters once you are in profit</t>
        </is>
      </c>
    </row>
    <row r="66">
      <c r="A66" s="27" t="inlineStr">
        <is>
          <t>Estimated annual income (GBP)</t>
        </is>
      </c>
      <c r="B66" s="45">
        <f>IFERROR($B$8*$B$63/$B$12,0)</f>
        <v/>
      </c>
    </row>
    <row r="67">
      <c r="A67" s="27" t="inlineStr">
        <is>
          <t>Dividends received to date (GBP)</t>
        </is>
      </c>
      <c r="B67" s="45">
        <f>$B$21</f>
        <v/>
      </c>
    </row>
    <row r="69" ht="18" customHeight="1">
      <c r="A69" s="6" t="inlineStr">
        <is>
          <t>5.  TRADE HISTORY  —  summarised from the Transactions log</t>
        </is>
      </c>
      <c r="B69" s="7" t="n"/>
      <c r="C69" s="7" t="n"/>
      <c r="D69" s="7" t="n"/>
      <c r="E69" s="7" t="n"/>
      <c r="F69" s="7" t="n"/>
    </row>
    <row r="70">
      <c r="A70" s="27" t="inlineStr">
        <is>
          <t>Number of trades</t>
        </is>
      </c>
      <c r="B70" s="12">
        <f>COUNTIFS(Transactions!$B$4:$B$63,$B$4)</f>
        <v/>
      </c>
    </row>
    <row r="71">
      <c r="A71" s="27" t="inlineStr">
        <is>
          <t>Shares bought</t>
        </is>
      </c>
      <c r="B71" s="44">
        <f>SUMIFS(Transactions!$D$4:$D$63,Transactions!$B$4:$B$63,$B$4,Transactions!$C$4:$C$63,"BUY")</f>
        <v/>
      </c>
    </row>
    <row r="72">
      <c r="A72" s="27" t="inlineStr">
        <is>
          <t>Shares sold</t>
        </is>
      </c>
      <c r="B72" s="44">
        <f>SUMIFS(Transactions!$D$4:$D$63,Transactions!$B$4:$B$63,$B$4,Transactions!$C$4:$C$63,"SELL")</f>
        <v/>
      </c>
    </row>
    <row r="73">
      <c r="A73" s="27" t="inlineStr">
        <is>
          <t>Total cash invested (GBP)</t>
        </is>
      </c>
      <c r="B73" s="45">
        <f>SUMIFS(Transactions!$J$4:$J$63,Transactions!$B$4:$B$63,$B$4,Transactions!$C$4:$C$63,"BUY")</f>
        <v/>
      </c>
    </row>
    <row r="74">
      <c r="A74" s="27" t="inlineStr">
        <is>
          <t>Total cash from sales (GBP)</t>
        </is>
      </c>
      <c r="B74" s="45">
        <f>SUMIFS(Transactions!$J$4:$J$63,Transactions!$B$4:$B$63,$B$4,Transactions!$C$4:$C$63,"SELL")</f>
        <v/>
      </c>
    </row>
    <row r="75">
      <c r="A75" s="27" t="inlineStr">
        <is>
          <t>Total fees paid (GBP)</t>
        </is>
      </c>
      <c r="B75" s="45">
        <f>SUMIFS(Transactions!$I$4:$I$63,Transactions!$B$4:$B$63,$B$4)</f>
        <v/>
      </c>
    </row>
    <row r="77" ht="18" customHeight="1">
      <c r="A77" s="6" t="inlineStr">
        <is>
          <t>6.  THESIS AND NOTES</t>
        </is>
      </c>
      <c r="B77" s="7" t="n"/>
      <c r="C77" s="7" t="n"/>
      <c r="D77" s="7" t="n"/>
      <c r="E77" s="7" t="n"/>
      <c r="F77" s="7" t="n"/>
    </row>
    <row r="78">
      <c r="A78" s="27" t="inlineStr">
        <is>
          <t>Why I own it</t>
        </is>
      </c>
      <c r="B78" s="26" t="n"/>
      <c r="C78" s="55" t="n"/>
      <c r="D78" s="5" t="inlineStr">
        <is>
          <t>the one-line reason — if you cannot write it, you should not hold it</t>
        </is>
      </c>
    </row>
    <row r="79">
      <c r="A79" s="27" t="inlineStr">
        <is>
          <t>What would make me sell</t>
        </is>
      </c>
      <c r="B79" s="26" t="n"/>
      <c r="C79" s="55" t="n"/>
      <c r="D79" s="5" t="inlineStr">
        <is>
          <t>name the broken thing, not a price</t>
        </is>
      </c>
    </row>
    <row r="80">
      <c r="A80" s="27" t="inlineStr">
        <is>
          <t>Key risk</t>
        </is>
      </c>
      <c r="B80" s="26" t="n"/>
      <c r="C80" s="55" t="n"/>
    </row>
    <row r="81">
      <c r="A81" s="27" t="inlineStr">
        <is>
          <t>Next catalyst / earnings date</t>
        </is>
      </c>
      <c r="B81" s="26" t="n"/>
      <c r="C81" s="55" t="n"/>
    </row>
    <row r="82">
      <c r="A82" s="27" t="inlineStr">
        <is>
          <t>Last reviewed</t>
        </is>
      </c>
      <c r="B82" s="26" t="n"/>
      <c r="C82" s="55" t="n"/>
    </row>
  </sheetData>
  <mergeCells count="12">
    <mergeCell ref="B79:C79"/>
    <mergeCell ref="B78:C78"/>
    <mergeCell ref="B80:C80"/>
    <mergeCell ref="A1:F1"/>
    <mergeCell ref="B81:C81"/>
    <mergeCell ref="A62:F62"/>
    <mergeCell ref="A3:F3"/>
    <mergeCell ref="A77:F77"/>
    <mergeCell ref="A69:F69"/>
    <mergeCell ref="B82:C82"/>
    <mergeCell ref="A25:F25"/>
    <mergeCell ref="A43:F43"/>
  </mergeCells>
  <conditionalFormatting sqref="B15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B16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B22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B23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B20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B17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B18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B59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B60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B55">
    <cfRule type="expression" priority="19" dxfId="5">
      <formula>ISNUMBER(SEARCH("SELL",B55))</formula>
    </cfRule>
    <cfRule type="expression" priority="20" dxfId="6">
      <formula>ISNUMBER(SEARCH("TRIM",B55))</formula>
    </cfRule>
    <cfRule type="expression" priority="21" dxfId="6">
      <formula>ISNUMBER(SEARCH("REVIEW",B55))</formula>
    </cfRule>
    <cfRule type="expression" priority="22" dxfId="7">
      <formula>EXACT(B55,"HOLD")</formula>
    </cfRule>
  </conditionalFormatting>
  <conditionalFormatting sqref="B36">
    <cfRule type="expression" priority="23" dxfId="8">
      <formula>EXACT(B36,"UNDERVALUED")</formula>
    </cfRule>
    <cfRule type="expression" priority="24" dxfId="9">
      <formula>EXACT(B36,"OVERVALUED")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F8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58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UBER  —  Uber Technologies, Inc.</t>
        </is>
      </c>
      <c r="B1" s="2" t="n"/>
      <c r="C1" s="2" t="n"/>
      <c r="D1" s="2" t="n"/>
      <c r="E1" s="2" t="n"/>
      <c r="F1" s="2" t="n"/>
    </row>
    <row r="3" ht="18" customHeight="1">
      <c r="A3" s="6" t="inlineStr">
        <is>
          <t>1.  POSITION</t>
        </is>
      </c>
      <c r="B3" s="7" t="n"/>
      <c r="C3" s="7" t="n"/>
      <c r="D3" s="7" t="n"/>
      <c r="E3" s="7" t="n"/>
      <c r="F3" s="7" t="n"/>
    </row>
    <row r="4">
      <c r="A4" s="27" t="inlineStr">
        <is>
          <t>Ticker</t>
        </is>
      </c>
      <c r="B4" s="15" t="inlineStr">
        <is>
          <t>UBER</t>
        </is>
      </c>
    </row>
    <row r="5">
      <c r="A5" s="27" t="inlineStr">
        <is>
          <t>Company</t>
        </is>
      </c>
      <c r="B5" s="43" t="inlineStr">
        <is>
          <t>Uber Technologies, Inc.</t>
        </is>
      </c>
    </row>
    <row r="6">
      <c r="A6" s="27" t="inlineStr">
        <is>
          <t>Sleeve / pie</t>
        </is>
      </c>
      <c r="B6" s="36" t="inlineStr">
        <is>
          <t>Never Sell</t>
        </is>
      </c>
      <c r="C6" s="5" t="inlineStr">
        <is>
          <t>Trading 212 pie this sits in</t>
        </is>
      </c>
    </row>
    <row r="7">
      <c r="A7" s="27" t="inlineStr">
        <is>
          <t>Quote currency</t>
        </is>
      </c>
      <c r="B7" s="17">
        <f>Prices!$C$9</f>
        <v/>
      </c>
    </row>
    <row r="8">
      <c r="A8" s="27" t="inlineStr">
        <is>
          <t>Shares held</t>
        </is>
      </c>
      <c r="B8" s="44">
        <f>SUMIFS(Transactions!$K$4:$K$63,Transactions!$B$4:$B$63,$B$4)</f>
        <v/>
      </c>
      <c r="C8" s="5" t="inlineStr">
        <is>
          <t>calculated from the Transactions log — never typed</t>
        </is>
      </c>
    </row>
    <row r="9">
      <c r="A9" s="27" t="inlineStr">
        <is>
          <t>Total invested (GBP)</t>
        </is>
      </c>
      <c r="B9" s="45">
        <f>SUMIFS(Transactions!$O$4:$O$63,Transactions!$B$4:$B$63,$B$4)</f>
        <v/>
      </c>
    </row>
    <row r="10">
      <c r="A10" s="27" t="inlineStr">
        <is>
          <t>Average cost per share (GBP)</t>
        </is>
      </c>
      <c r="B10" s="45">
        <f>IFERROR($B$9/$B$8,0)</f>
        <v/>
      </c>
    </row>
    <row r="11">
      <c r="A11" s="27" t="inlineStr">
        <is>
          <t>Live price (USD)</t>
        </is>
      </c>
      <c r="B11" s="46">
        <f>Prices!$D$9</f>
        <v/>
      </c>
      <c r="C11" s="5" t="inlineStr">
        <is>
          <t>update on the Prices tab</t>
        </is>
      </c>
    </row>
    <row r="12">
      <c r="A12" s="27" t="inlineStr">
        <is>
          <t>GBP/USD</t>
        </is>
      </c>
      <c r="B12" s="47">
        <f>Prices!$B$3</f>
        <v/>
      </c>
    </row>
    <row r="13">
      <c r="A13" s="27" t="inlineStr">
        <is>
          <t>Price per share (GBP)</t>
        </is>
      </c>
      <c r="B13" s="19">
        <f>Prices!$Q$9</f>
        <v/>
      </c>
    </row>
    <row r="14">
      <c r="A14" s="27" t="inlineStr">
        <is>
          <t>Market value (GBP)</t>
        </is>
      </c>
      <c r="B14" s="45">
        <f>$B$8*$B$13</f>
        <v/>
      </c>
    </row>
    <row r="15">
      <c r="A15" s="27" t="inlineStr">
        <is>
          <t>Unrealised P/L (GBP)</t>
        </is>
      </c>
      <c r="B15" s="45">
        <f>$B$14-$B$9</f>
        <v/>
      </c>
    </row>
    <row r="16">
      <c r="A16" s="27" t="inlineStr">
        <is>
          <t>Unrealised P/L %</t>
        </is>
      </c>
      <c r="B16" s="10">
        <f>IFERROR($B$15/$B$9,0)</f>
        <v/>
      </c>
    </row>
    <row r="17">
      <c r="A17" s="27" t="inlineStr">
        <is>
          <t>Day change (GBP)</t>
        </is>
      </c>
      <c r="B17" s="45">
        <f>IFERROR($B$8*Prices!$F$9/$B$12,0)</f>
        <v/>
      </c>
      <c r="C17" s="5" t="inlineStr">
        <is>
          <t>needs Prev close on the Prices tab</t>
        </is>
      </c>
    </row>
    <row r="18">
      <c r="A18" s="27" t="inlineStr">
        <is>
          <t>Day change %</t>
        </is>
      </c>
      <c r="B18" s="11">
        <f>IFERROR(Prices!$G$9,0)</f>
        <v/>
      </c>
    </row>
    <row r="19">
      <c r="A19" s="27" t="inlineStr">
        <is>
          <t>% of portfolio</t>
        </is>
      </c>
      <c r="B19" s="10">
        <f>IFERROR($B$14/Dashboard!$B$6,0)</f>
        <v/>
      </c>
      <c r="C19" s="5" t="inlineStr">
        <is>
          <t>share of total market value</t>
        </is>
      </c>
    </row>
    <row r="20">
      <c r="A20" s="27" t="inlineStr">
        <is>
          <t>Realised P/L (GBP)</t>
        </is>
      </c>
      <c r="B20" s="45">
        <f>SUMIFS(Transactions!$P$4:$P$63,Transactions!$B$4:$B$63,$B$4)</f>
        <v/>
      </c>
    </row>
    <row r="21">
      <c r="A21" s="27" t="inlineStr">
        <is>
          <t>Dividends received (GBP)</t>
        </is>
      </c>
      <c r="B21" s="45">
        <f>SUMIFS(Dividends!$H$4:$H$43,Dividends!$B$4:$B$43,$B$4)</f>
        <v/>
      </c>
    </row>
    <row r="22">
      <c r="A22" s="27" t="inlineStr">
        <is>
          <t>Total return (GBP)</t>
        </is>
      </c>
      <c r="B22" s="45">
        <f>$B$15+$B$20+$B$21</f>
        <v/>
      </c>
    </row>
    <row r="23">
      <c r="A23" s="27" t="inlineStr">
        <is>
          <t>Total return %</t>
        </is>
      </c>
      <c r="B23" s="10">
        <f>IFERROR($B$22/$B$9,0)</f>
        <v/>
      </c>
    </row>
    <row r="25" ht="18" customHeight="1">
      <c r="A25" s="6" t="inlineStr">
        <is>
          <t>2.  VALUATION AND EPS</t>
        </is>
      </c>
      <c r="B25" s="7" t="n"/>
      <c r="C25" s="7" t="n"/>
      <c r="D25" s="7" t="n"/>
      <c r="E25" s="7" t="n"/>
      <c r="F25" s="7" t="n"/>
    </row>
    <row r="26">
      <c r="A26" s="27" t="inlineStr">
        <is>
          <t>EPS trailing 12m (USD)</t>
        </is>
      </c>
      <c r="B26" s="46">
        <f>Prices!$K$9</f>
        <v/>
      </c>
      <c r="C26" s="5" t="inlineStr">
        <is>
          <t>enter on the Prices tab — blank by design, I do not invent financials</t>
        </is>
      </c>
    </row>
    <row r="27">
      <c r="A27" s="27" t="inlineStr">
        <is>
          <t>EPS forward, next FY (USD)</t>
        </is>
      </c>
      <c r="B27" s="46">
        <f>Prices!$L$9</f>
        <v/>
      </c>
      <c r="C27" s="5" t="inlineStr">
        <is>
          <t>consensus, from your broker's research tab</t>
        </is>
      </c>
    </row>
    <row r="28">
      <c r="A28" s="27" t="inlineStr">
        <is>
          <t>EPS growth, fwd vs TTM</t>
        </is>
      </c>
      <c r="B28" s="10">
        <f>IFERROR($B$27/$B$26-1,"")</f>
        <v/>
      </c>
    </row>
    <row r="29">
      <c r="A29" s="27" t="inlineStr">
        <is>
          <t>P/E trailing</t>
        </is>
      </c>
      <c r="B29" s="48">
        <f>Prices!$M$9</f>
        <v/>
      </c>
    </row>
    <row r="30">
      <c r="A30" s="27" t="inlineStr">
        <is>
          <t>P/E forward</t>
        </is>
      </c>
      <c r="B30" s="48">
        <f>Prices!$N$9</f>
        <v/>
      </c>
    </row>
    <row r="31">
      <c r="A31" s="27" t="inlineStr">
        <is>
          <t>PEG (fwd P/E / growth)</t>
        </is>
      </c>
      <c r="B31" s="49">
        <f>IFERROR($B$30/($B$28*100),"")</f>
        <v/>
      </c>
      <c r="C31" s="5" t="inlineStr">
        <is>
          <t>under 1.0 is the classic cheap-for-its-growth marker</t>
        </is>
      </c>
    </row>
    <row r="32">
      <c r="A32" s="27" t="inlineStr">
        <is>
          <t>Target P/E you would pay</t>
        </is>
      </c>
      <c r="B32" s="50" t="n"/>
      <c r="C32" s="5" t="inlineStr">
        <is>
          <t>your multiple — this drives fair value below</t>
        </is>
      </c>
    </row>
    <row r="33">
      <c r="A33" s="27" t="inlineStr">
        <is>
          <t>Fair value (USD)</t>
        </is>
      </c>
      <c r="B33" s="51">
        <f>IFERROR($B$32*$B$27,"")</f>
        <v/>
      </c>
      <c r="C33" s="5" t="inlineStr">
        <is>
          <t>target P/E x forward EPS</t>
        </is>
      </c>
    </row>
    <row r="34">
      <c r="A34" s="27" t="inlineStr">
        <is>
          <t>Fair value (GBP)</t>
        </is>
      </c>
      <c r="B34" s="45">
        <f>IFERROR($B$33/$B$12,"")</f>
        <v/>
      </c>
    </row>
    <row r="35">
      <c r="A35" s="27" t="inlineStr">
        <is>
          <t>Upside to fair value</t>
        </is>
      </c>
      <c r="B35" s="10">
        <f>IFERROR($B$33/$B$11-1,"")</f>
        <v/>
      </c>
    </row>
    <row r="36">
      <c r="A36" s="27" t="inlineStr">
        <is>
          <t>Valuation verdict</t>
        </is>
      </c>
      <c r="B36" s="15">
        <f>IF($B$35="","enter EPS and target P/E",IF($B$35&gt;=0.2,"UNDERVALUED",IF($B$35&lt;=-0.1,"OVERVALUED","FAIRLY VALUED")))</f>
        <v/>
      </c>
    </row>
    <row r="37">
      <c r="A37" s="27" t="inlineStr">
        <is>
          <t>Analyst price target (USD)</t>
        </is>
      </c>
      <c r="B37" s="46">
        <f>Prices!$O$9</f>
        <v/>
      </c>
    </row>
    <row r="38">
      <c r="A38" s="27" t="inlineStr">
        <is>
          <t>Upside to analyst target</t>
        </is>
      </c>
      <c r="B38" s="10">
        <f>IFERROR(Prices!$P$9,"")</f>
        <v/>
      </c>
    </row>
    <row r="39">
      <c r="A39" s="27" t="inlineStr">
        <is>
          <t>52-week high (USD)</t>
        </is>
      </c>
      <c r="B39" s="46">
        <f>Prices!$H$9</f>
        <v/>
      </c>
    </row>
    <row r="40">
      <c r="A40" s="27" t="inlineStr">
        <is>
          <t>52-week low (USD)</t>
        </is>
      </c>
      <c r="B40" s="46">
        <f>Prices!$I$9</f>
        <v/>
      </c>
    </row>
    <row r="41">
      <c r="A41" s="27" t="inlineStr">
        <is>
          <t>% below 52-week high</t>
        </is>
      </c>
      <c r="B41" s="10">
        <f>IFERROR(Prices!$J$9,"")</f>
        <v/>
      </c>
    </row>
    <row r="43" ht="18" customHeight="1">
      <c r="A43" s="6" t="inlineStr">
        <is>
          <t>3.  SELL DISCIPLINE  —  the exit plan, decided in advance</t>
        </is>
      </c>
      <c r="B43" s="7" t="n"/>
      <c r="C43" s="7" t="n"/>
      <c r="D43" s="7" t="n"/>
      <c r="E43" s="7" t="n"/>
      <c r="F43" s="7" t="n"/>
    </row>
    <row r="44">
      <c r="A44" s="27" t="inlineStr">
        <is>
          <t>Take-profit target %</t>
        </is>
      </c>
      <c r="B44" s="20">
        <f>Sell_Rules!$B$5</f>
        <v/>
      </c>
      <c r="C44" s="5" t="inlineStr">
        <is>
          <t>inherits Sell_Rules — type over it to override</t>
        </is>
      </c>
    </row>
    <row r="45">
      <c r="A45" s="27" t="inlineStr">
        <is>
          <t>Take-profit price (GBP)</t>
        </is>
      </c>
      <c r="B45" s="45">
        <f>$B$10*(1+$B$44)</f>
        <v/>
      </c>
    </row>
    <row r="46">
      <c r="A46" s="27" t="inlineStr">
        <is>
          <t>Trim level 1 %</t>
        </is>
      </c>
      <c r="B46" s="20">
        <f>Sell_Rules!$B$6</f>
        <v/>
      </c>
    </row>
    <row r="47">
      <c r="A47" s="27" t="inlineStr">
        <is>
          <t>Trim 1 price (GBP)</t>
        </is>
      </c>
      <c r="B47" s="45">
        <f>$B$10*(1+$B$46)</f>
        <v/>
      </c>
    </row>
    <row r="48">
      <c r="A48" s="27" t="inlineStr">
        <is>
          <t>Trim level 2 %</t>
        </is>
      </c>
      <c r="B48" s="20">
        <f>Sell_Rules!$B$7</f>
        <v/>
      </c>
    </row>
    <row r="49">
      <c r="A49" s="27" t="inlineStr">
        <is>
          <t>Trim 2 price (GBP)</t>
        </is>
      </c>
      <c r="B49" s="45">
        <f>$B$10*(1+$B$48)</f>
        <v/>
      </c>
    </row>
    <row r="50">
      <c r="A50" s="27" t="inlineStr">
        <is>
          <t>Stop loss %</t>
        </is>
      </c>
      <c r="B50" s="20">
        <f>Sell_Rules!$B$8</f>
        <v/>
      </c>
    </row>
    <row r="51">
      <c r="A51" s="27" t="inlineStr">
        <is>
          <t>Stop-loss price (GBP)</t>
        </is>
      </c>
      <c r="B51" s="45">
        <f>$B$10*(1-$B$50)</f>
        <v/>
      </c>
    </row>
    <row r="52">
      <c r="A52" s="27" t="inlineStr">
        <is>
          <t>Trailing stop % off 52w high</t>
        </is>
      </c>
      <c r="B52" s="20">
        <f>Sell_Rules!$B$9</f>
        <v/>
      </c>
    </row>
    <row r="53">
      <c r="A53" s="27" t="inlineStr">
        <is>
          <t>Trailing stop price (GBP)</t>
        </is>
      </c>
      <c r="B53" s="45">
        <f>IFERROR($B$39/$B$12*(1-$B$52),0)</f>
        <v/>
      </c>
      <c r="C53" s="5" t="inlineStr">
        <is>
          <t>0 until you enter the 52-week high on the Prices tab</t>
        </is>
      </c>
    </row>
    <row r="54">
      <c r="A54" s="27" t="inlineStr">
        <is>
          <t>Manual sell price (GBP)</t>
        </is>
      </c>
      <c r="B54" s="52" t="n"/>
      <c r="C54" s="5" t="inlineStr">
        <is>
          <t>optional hard number that overrides everything above</t>
        </is>
      </c>
    </row>
    <row r="55" ht="22" customHeight="1">
      <c r="A55" s="21" t="inlineStr">
        <is>
          <t>SIGNAL</t>
        </is>
      </c>
      <c r="B55" s="53">
        <f>IF($B$8=0,"NO POSITION",IF(AND($B$54&gt;0,$B$13&gt;=$B$54),"SELL - MANUAL TARGET",IF($B$13&lt;=$B$51,"SELL - STOP LOSS",IF($B$13&gt;=$B$45,"SELL - TARGET HIT",IF($B$13&gt;=$B$49,"TRIM 2",IF($B$13&gt;=$B$47,"TRIM 1",IF(AND($B$53&gt;0,$B$13&lt;=$B$53),"REVIEW - TRAILING STOP","HOLD")))))))</f>
        <v/>
      </c>
      <c r="C55" s="5" t="inlineStr">
        <is>
          <t>recalculated the moment the price changes</t>
        </is>
      </c>
    </row>
    <row r="56">
      <c r="A56" s="27" t="inlineStr">
        <is>
          <t>Value if sold today (GBP)</t>
        </is>
      </c>
      <c r="B56" s="45">
        <f>$B$14</f>
        <v/>
      </c>
    </row>
    <row r="57">
      <c r="A57" s="27" t="inlineStr">
        <is>
          <t>Estimated selling costs (GBP)</t>
        </is>
      </c>
      <c r="B57" s="52" t="n">
        <v>0</v>
      </c>
      <c r="C57" s="5" t="inlineStr">
        <is>
          <t>FX charge / commission — Trading 212 FX fee is 0.15% of the trade</t>
        </is>
      </c>
    </row>
    <row r="58">
      <c r="A58" s="27" t="inlineStr">
        <is>
          <t>Net proceeds if sold (GBP)</t>
        </is>
      </c>
      <c r="B58" s="45">
        <f>$B$56-$B$57</f>
        <v/>
      </c>
    </row>
    <row r="59">
      <c r="A59" s="27" t="inlineStr">
        <is>
          <t>Gain locked in if sold (GBP)</t>
        </is>
      </c>
      <c r="B59" s="45">
        <f>$B$58-$B$9</f>
        <v/>
      </c>
    </row>
    <row r="60">
      <c r="A60" s="27" t="inlineStr">
        <is>
          <t>Gain locked in %</t>
        </is>
      </c>
      <c r="B60" s="10">
        <f>IFERROR($B$59/$B$9,0)</f>
        <v/>
      </c>
    </row>
    <row r="62" ht="18" customHeight="1">
      <c r="A62" s="6" t="inlineStr">
        <is>
          <t>4.  DIVIDEND INCOME</t>
        </is>
      </c>
      <c r="B62" s="7" t="n"/>
      <c r="C62" s="7" t="n"/>
      <c r="D62" s="7" t="n"/>
      <c r="E62" s="7" t="n"/>
      <c r="F62" s="7" t="n"/>
    </row>
    <row r="63">
      <c r="A63" s="27" t="inlineStr">
        <is>
          <t>Annual dividend per share (USD)</t>
        </is>
      </c>
      <c r="B63" s="54" t="n"/>
      <c r="C63" s="5" t="inlineStr">
        <is>
          <t>0 if it does not pay one</t>
        </is>
      </c>
    </row>
    <row r="64">
      <c r="A64" s="27" t="inlineStr">
        <is>
          <t>Dividend yield on price</t>
        </is>
      </c>
      <c r="B64" s="11">
        <f>IFERROR($B$63/$B$11,0)</f>
        <v/>
      </c>
    </row>
    <row r="65">
      <c r="A65" s="27" t="inlineStr">
        <is>
          <t>Yield on your cost</t>
        </is>
      </c>
      <c r="B65" s="11">
        <f>IFERROR($B$63/$B$12/$B$10,0)</f>
        <v/>
      </c>
      <c r="C65" s="5" t="inlineStr">
        <is>
          <t>the number that actually matters once you are in profit</t>
        </is>
      </c>
    </row>
    <row r="66">
      <c r="A66" s="27" t="inlineStr">
        <is>
          <t>Estimated annual income (GBP)</t>
        </is>
      </c>
      <c r="B66" s="45">
        <f>IFERROR($B$8*$B$63/$B$12,0)</f>
        <v/>
      </c>
    </row>
    <row r="67">
      <c r="A67" s="27" t="inlineStr">
        <is>
          <t>Dividends received to date (GBP)</t>
        </is>
      </c>
      <c r="B67" s="45">
        <f>$B$21</f>
        <v/>
      </c>
    </row>
    <row r="69" ht="18" customHeight="1">
      <c r="A69" s="6" t="inlineStr">
        <is>
          <t>5.  TRADE HISTORY  —  summarised from the Transactions log</t>
        </is>
      </c>
      <c r="B69" s="7" t="n"/>
      <c r="C69" s="7" t="n"/>
      <c r="D69" s="7" t="n"/>
      <c r="E69" s="7" t="n"/>
      <c r="F69" s="7" t="n"/>
    </row>
    <row r="70">
      <c r="A70" s="27" t="inlineStr">
        <is>
          <t>Number of trades</t>
        </is>
      </c>
      <c r="B70" s="12">
        <f>COUNTIFS(Transactions!$B$4:$B$63,$B$4)</f>
        <v/>
      </c>
    </row>
    <row r="71">
      <c r="A71" s="27" t="inlineStr">
        <is>
          <t>Shares bought</t>
        </is>
      </c>
      <c r="B71" s="44">
        <f>SUMIFS(Transactions!$D$4:$D$63,Transactions!$B$4:$B$63,$B$4,Transactions!$C$4:$C$63,"BUY")</f>
        <v/>
      </c>
    </row>
    <row r="72">
      <c r="A72" s="27" t="inlineStr">
        <is>
          <t>Shares sold</t>
        </is>
      </c>
      <c r="B72" s="44">
        <f>SUMIFS(Transactions!$D$4:$D$63,Transactions!$B$4:$B$63,$B$4,Transactions!$C$4:$C$63,"SELL")</f>
        <v/>
      </c>
    </row>
    <row r="73">
      <c r="A73" s="27" t="inlineStr">
        <is>
          <t>Total cash invested (GBP)</t>
        </is>
      </c>
      <c r="B73" s="45">
        <f>SUMIFS(Transactions!$J$4:$J$63,Transactions!$B$4:$B$63,$B$4,Transactions!$C$4:$C$63,"BUY")</f>
        <v/>
      </c>
    </row>
    <row r="74">
      <c r="A74" s="27" t="inlineStr">
        <is>
          <t>Total cash from sales (GBP)</t>
        </is>
      </c>
      <c r="B74" s="45">
        <f>SUMIFS(Transactions!$J$4:$J$63,Transactions!$B$4:$B$63,$B$4,Transactions!$C$4:$C$63,"SELL")</f>
        <v/>
      </c>
    </row>
    <row r="75">
      <c r="A75" s="27" t="inlineStr">
        <is>
          <t>Total fees paid (GBP)</t>
        </is>
      </c>
      <c r="B75" s="45">
        <f>SUMIFS(Transactions!$I$4:$I$63,Transactions!$B$4:$B$63,$B$4)</f>
        <v/>
      </c>
    </row>
    <row r="77" ht="18" customHeight="1">
      <c r="A77" s="6" t="inlineStr">
        <is>
          <t>6.  THESIS AND NOTES</t>
        </is>
      </c>
      <c r="B77" s="7" t="n"/>
      <c r="C77" s="7" t="n"/>
      <c r="D77" s="7" t="n"/>
      <c r="E77" s="7" t="n"/>
      <c r="F77" s="7" t="n"/>
    </row>
    <row r="78">
      <c r="A78" s="27" t="inlineStr">
        <is>
          <t>Why I own it</t>
        </is>
      </c>
      <c r="B78" s="26" t="n"/>
      <c r="C78" s="55" t="n"/>
      <c r="D78" s="5" t="inlineStr">
        <is>
          <t>the one-line reason — if you cannot write it, you should not hold it</t>
        </is>
      </c>
    </row>
    <row r="79">
      <c r="A79" s="27" t="inlineStr">
        <is>
          <t>What would make me sell</t>
        </is>
      </c>
      <c r="B79" s="26" t="n"/>
      <c r="C79" s="55" t="n"/>
      <c r="D79" s="5" t="inlineStr">
        <is>
          <t>name the broken thing, not a price</t>
        </is>
      </c>
    </row>
    <row r="80">
      <c r="A80" s="27" t="inlineStr">
        <is>
          <t>Key risk</t>
        </is>
      </c>
      <c r="B80" s="26" t="n"/>
      <c r="C80" s="55" t="n"/>
    </row>
    <row r="81">
      <c r="A81" s="27" t="inlineStr">
        <is>
          <t>Next catalyst / earnings date</t>
        </is>
      </c>
      <c r="B81" s="26" t="n"/>
      <c r="C81" s="55" t="n"/>
    </row>
    <row r="82">
      <c r="A82" s="27" t="inlineStr">
        <is>
          <t>Last reviewed</t>
        </is>
      </c>
      <c r="B82" s="26" t="n"/>
      <c r="C82" s="55" t="n"/>
    </row>
  </sheetData>
  <mergeCells count="12">
    <mergeCell ref="B79:C79"/>
    <mergeCell ref="B78:C78"/>
    <mergeCell ref="B80:C80"/>
    <mergeCell ref="A1:F1"/>
    <mergeCell ref="B81:C81"/>
    <mergeCell ref="A62:F62"/>
    <mergeCell ref="A3:F3"/>
    <mergeCell ref="A77:F77"/>
    <mergeCell ref="A69:F69"/>
    <mergeCell ref="B82:C82"/>
    <mergeCell ref="A25:F25"/>
    <mergeCell ref="A43:F43"/>
  </mergeCells>
  <conditionalFormatting sqref="B15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B16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B22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B23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B20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B17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B18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B59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B60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B55">
    <cfRule type="expression" priority="19" dxfId="5">
      <formula>ISNUMBER(SEARCH("SELL",B55))</formula>
    </cfRule>
    <cfRule type="expression" priority="20" dxfId="6">
      <formula>ISNUMBER(SEARCH("TRIM",B55))</formula>
    </cfRule>
    <cfRule type="expression" priority="21" dxfId="6">
      <formula>ISNUMBER(SEARCH("REVIEW",B55))</formula>
    </cfRule>
    <cfRule type="expression" priority="22" dxfId="7">
      <formula>EXACT(B55,"HOLD")</formula>
    </cfRule>
  </conditionalFormatting>
  <conditionalFormatting sqref="B36">
    <cfRule type="expression" priority="23" dxfId="8">
      <formula>EXACT(B36,"UNDERVALUED")</formula>
    </cfRule>
    <cfRule type="expression" priority="24" dxfId="9">
      <formula>EXACT(B36,"OVERVALUED")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Q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3" customWidth="1" min="4" max="4"/>
    <col width="15" customWidth="1" min="5" max="5"/>
    <col width="10" customWidth="1" min="6" max="6"/>
    <col width="15" customWidth="1" min="7" max="7"/>
    <col width="14" customWidth="1" min="8" max="8"/>
    <col width="11" customWidth="1" min="9" max="9"/>
    <col width="14" customWidth="1" min="10" max="10"/>
    <col width="13" customWidth="1" min="11" max="11"/>
    <col width="13" customWidth="1" min="12" max="12"/>
    <col width="15" customWidth="1" min="13" max="13"/>
    <col width="15" customWidth="1" min="14" max="14"/>
    <col width="16" customWidth="1" min="15" max="15"/>
    <col width="15" customWidth="1" min="16" max="16"/>
    <col width="30" customWidth="1" min="17" max="17"/>
  </cols>
  <sheetData>
    <row r="1" ht="22" customHeight="1">
      <c r="A1" s="1" t="inlineStr">
        <is>
          <t>MASTER TRADE LOG  —  every buy and sell goes here once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5" t="inlineStr">
        <is>
          <t>Shares held and average cost on every holding tab are calculated from this sheet. Add new trades in the next empty row and keep the formulas in columns G to P.</t>
        </is>
      </c>
    </row>
    <row r="3" ht="30" customHeight="1">
      <c r="A3" s="14" t="inlineStr">
        <is>
          <t>Date</t>
        </is>
      </c>
      <c r="B3" s="14" t="inlineStr">
        <is>
          <t>Ticker</t>
        </is>
      </c>
      <c r="C3" s="14" t="inlineStr">
        <is>
          <t>Type</t>
        </is>
      </c>
      <c r="D3" s="14" t="inlineStr">
        <is>
          <t>Shares</t>
        </is>
      </c>
      <c r="E3" s="14" t="inlineStr">
        <is>
          <t>Price/share (native)</t>
        </is>
      </c>
      <c r="F3" s="14" t="inlineStr">
        <is>
          <t>FX (GBP/USD)</t>
        </is>
      </c>
      <c r="G3" s="14" t="inlineStr">
        <is>
          <t>Price/share (GBP)</t>
        </is>
      </c>
      <c r="H3" s="14" t="inlineStr">
        <is>
          <t>Gross (GBP)</t>
        </is>
      </c>
      <c r="I3" s="14" t="inlineStr">
        <is>
          <t>Fees (GBP)</t>
        </is>
      </c>
      <c r="J3" s="14" t="inlineStr">
        <is>
          <t>Net cash (GBP)</t>
        </is>
      </c>
      <c r="K3" s="14" t="inlineStr">
        <is>
          <t>Signed shares</t>
        </is>
      </c>
      <c r="L3" s="14" t="inlineStr">
        <is>
          <t>Shares before</t>
        </is>
      </c>
      <c r="M3" s="14" t="inlineStr">
        <is>
          <t>Cost basis before</t>
        </is>
      </c>
      <c r="N3" s="14" t="inlineStr">
        <is>
          <t>Avg cost before</t>
        </is>
      </c>
      <c r="O3" s="14" t="inlineStr">
        <is>
          <t>Cost basis impact</t>
        </is>
      </c>
      <c r="P3" s="14" t="inlineStr">
        <is>
          <t>Realised P/L (GBP)</t>
        </is>
      </c>
      <c r="Q3" s="14" t="inlineStr">
        <is>
          <t>Notes</t>
        </is>
      </c>
    </row>
    <row r="4">
      <c r="A4" s="36" t="inlineStr">
        <is>
          <t>2026-08-04</t>
        </is>
      </c>
      <c r="B4" s="36" t="inlineStr">
        <is>
          <t>AMZN</t>
        </is>
      </c>
      <c r="C4" s="36" t="inlineStr">
        <is>
          <t>BUY</t>
        </is>
      </c>
      <c r="D4" s="56" t="n">
        <v>66.0103</v>
      </c>
      <c r="E4" s="57" t="n">
        <v>248.670018</v>
      </c>
      <c r="F4" s="58" t="n">
        <v>1.34499</v>
      </c>
      <c r="G4" s="42">
        <f>IF($B4="","",IFERROR($E4/$F4,0))</f>
        <v/>
      </c>
      <c r="H4" s="42">
        <f>IF($B4="","",$D4*$G4)</f>
        <v/>
      </c>
      <c r="I4" s="59" t="n">
        <v>0</v>
      </c>
      <c r="J4" s="42">
        <f>IF($B4="","",IF($C4="BUY",$H4+$I4,$H4-$I4))</f>
        <v/>
      </c>
      <c r="K4" s="60">
        <f>IF($B4="","",IF($C4="BUY",$D4,-$D4))</f>
        <v/>
      </c>
      <c r="L4" s="60">
        <f>IF($B4="","",0)</f>
        <v/>
      </c>
      <c r="M4" s="42">
        <f>IF($B4="","",0)</f>
        <v/>
      </c>
      <c r="N4" s="42">
        <f>IF($B4="","",IFERROR($M4/$L4,0))</f>
        <v/>
      </c>
      <c r="O4" s="42">
        <f>IF($B4="","",IF($C4="BUY",$J4,-$D4*$N4))</f>
        <v/>
      </c>
      <c r="P4" s="42">
        <f>IF($B4="","",IF($C4="SELL",$J4-$D4*$N4,0))</f>
        <v/>
      </c>
      <c r="Q4" s="28" t="inlineStr">
        <is>
          <t>Opening position from Trading 212 Never Sell pie export, 4 Aug 2026. Replace with your real trade history when you have it.</t>
        </is>
      </c>
    </row>
    <row r="5">
      <c r="A5" s="61" t="inlineStr">
        <is>
          <t>2026-08-04</t>
        </is>
      </c>
      <c r="B5" s="61" t="inlineStr">
        <is>
          <t>MSFT</t>
        </is>
      </c>
      <c r="C5" s="61" t="inlineStr">
        <is>
          <t>BUY</t>
        </is>
      </c>
      <c r="D5" s="62" t="n">
        <v>20.4311</v>
      </c>
      <c r="E5" s="63" t="n">
        <v>381.847974</v>
      </c>
      <c r="F5" s="64" t="n">
        <v>1.34499</v>
      </c>
      <c r="G5" s="65">
        <f>IF($B5="","",IFERROR($E5/$F5,0))</f>
        <v/>
      </c>
      <c r="H5" s="65">
        <f>IF($B5="","",$D5*$G5)</f>
        <v/>
      </c>
      <c r="I5" s="66" t="n">
        <v>0</v>
      </c>
      <c r="J5" s="65">
        <f>IF($B5="","",IF($C5="BUY",$H5+$I5,$H5-$I5))</f>
        <v/>
      </c>
      <c r="K5" s="67">
        <f>IF($B5="","",IF($C5="BUY",$D5,-$D5))</f>
        <v/>
      </c>
      <c r="L5" s="67">
        <f>IF($B5="","",SUMIFS($K$4:$K4,$B$4:$B4,$B5))</f>
        <v/>
      </c>
      <c r="M5" s="65">
        <f>IF($B5="","",SUMIFS($O$4:$O4,$B$4:$B4,$B5))</f>
        <v/>
      </c>
      <c r="N5" s="65">
        <f>IF($B5="","",IFERROR($M5/$L5,0))</f>
        <v/>
      </c>
      <c r="O5" s="65">
        <f>IF($B5="","",IF($C5="BUY",$J5,-$D5*$N5))</f>
        <v/>
      </c>
      <c r="P5" s="65">
        <f>IF($B5="","",IF($C5="SELL",$J5-$D5*$N5,0))</f>
        <v/>
      </c>
      <c r="Q5" s="68" t="inlineStr">
        <is>
          <t>Opening position from Trading 212 Never Sell pie export, 4 Aug 2026. Replace with your real trade history when you have it.</t>
        </is>
      </c>
    </row>
    <row r="6">
      <c r="A6" s="36" t="inlineStr">
        <is>
          <t>2026-08-04</t>
        </is>
      </c>
      <c r="B6" s="36" t="inlineStr">
        <is>
          <t>UBER</t>
        </is>
      </c>
      <c r="C6" s="36" t="inlineStr">
        <is>
          <t>BUY</t>
        </is>
      </c>
      <c r="D6" s="56" t="n">
        <v>109.6538</v>
      </c>
      <c r="E6" s="57" t="n">
        <v>68.789715</v>
      </c>
      <c r="F6" s="58" t="n">
        <v>1.34499</v>
      </c>
      <c r="G6" s="42">
        <f>IF($B6="","",IFERROR($E6/$F6,0))</f>
        <v/>
      </c>
      <c r="H6" s="42">
        <f>IF($B6="","",$D6*$G6)</f>
        <v/>
      </c>
      <c r="I6" s="59" t="n">
        <v>0</v>
      </c>
      <c r="J6" s="42">
        <f>IF($B6="","",IF($C6="BUY",$H6+$I6,$H6-$I6))</f>
        <v/>
      </c>
      <c r="K6" s="60">
        <f>IF($B6="","",IF($C6="BUY",$D6,-$D6))</f>
        <v/>
      </c>
      <c r="L6" s="60">
        <f>IF($B6="","",SUMIFS($K$4:$K5,$B$4:$B5,$B6))</f>
        <v/>
      </c>
      <c r="M6" s="42">
        <f>IF($B6="","",SUMIFS($O$4:$O5,$B$4:$B5,$B6))</f>
        <v/>
      </c>
      <c r="N6" s="42">
        <f>IF($B6="","",IFERROR($M6/$L6,0))</f>
        <v/>
      </c>
      <c r="O6" s="42">
        <f>IF($B6="","",IF($C6="BUY",$J6,-$D6*$N6))</f>
        <v/>
      </c>
      <c r="P6" s="42">
        <f>IF($B6="","",IF($C6="SELL",$J6-$D6*$N6,0))</f>
        <v/>
      </c>
      <c r="Q6" s="28" t="inlineStr">
        <is>
          <t>Opening position from Trading 212 Never Sell pie export, 4 Aug 2026. Replace with your real trade history when you have it.</t>
        </is>
      </c>
    </row>
    <row r="7">
      <c r="A7" s="61" t="n"/>
      <c r="B7" s="61" t="n"/>
      <c r="C7" s="61" t="n"/>
      <c r="D7" s="62" t="n"/>
      <c r="E7" s="63" t="n"/>
      <c r="F7" s="64" t="n"/>
      <c r="G7" s="65">
        <f>IF($B7="","",IFERROR($E7/$F7,0))</f>
        <v/>
      </c>
      <c r="H7" s="65">
        <f>IF($B7="","",$D7*$G7)</f>
        <v/>
      </c>
      <c r="I7" s="66" t="n"/>
      <c r="J7" s="65">
        <f>IF($B7="","",IF($C7="BUY",$H7+$I7,$H7-$I7))</f>
        <v/>
      </c>
      <c r="K7" s="67">
        <f>IF($B7="","",IF($C7="BUY",$D7,-$D7))</f>
        <v/>
      </c>
      <c r="L7" s="67">
        <f>IF($B7="","",SUMIFS($K$4:$K6,$B$4:$B6,$B7))</f>
        <v/>
      </c>
      <c r="M7" s="65">
        <f>IF($B7="","",SUMIFS($O$4:$O6,$B$4:$B6,$B7))</f>
        <v/>
      </c>
      <c r="N7" s="65">
        <f>IF($B7="","",IFERROR($M7/$L7,0))</f>
        <v/>
      </c>
      <c r="O7" s="65">
        <f>IF($B7="","",IF($C7="BUY",$J7,-$D7*$N7))</f>
        <v/>
      </c>
      <c r="P7" s="65">
        <f>IF($B7="","",IF($C7="SELL",$J7-$D7*$N7,0))</f>
        <v/>
      </c>
      <c r="Q7" s="69" t="n"/>
    </row>
    <row r="8">
      <c r="A8" s="36" t="n"/>
      <c r="B8" s="36" t="n"/>
      <c r="C8" s="36" t="n"/>
      <c r="D8" s="56" t="n"/>
      <c r="E8" s="57" t="n"/>
      <c r="F8" s="58" t="n"/>
      <c r="G8" s="42">
        <f>IF($B8="","",IFERROR($E8/$F8,0))</f>
        <v/>
      </c>
      <c r="H8" s="42">
        <f>IF($B8="","",$D8*$G8)</f>
        <v/>
      </c>
      <c r="I8" s="59" t="n"/>
      <c r="J8" s="42">
        <f>IF($B8="","",IF($C8="BUY",$H8+$I8,$H8-$I8))</f>
        <v/>
      </c>
      <c r="K8" s="60">
        <f>IF($B8="","",IF($C8="BUY",$D8,-$D8))</f>
        <v/>
      </c>
      <c r="L8" s="60">
        <f>IF($B8="","",SUMIFS($K$4:$K7,$B$4:$B7,$B8))</f>
        <v/>
      </c>
      <c r="M8" s="42">
        <f>IF($B8="","",SUMIFS($O$4:$O7,$B$4:$B7,$B8))</f>
        <v/>
      </c>
      <c r="N8" s="42">
        <f>IF($B8="","",IFERROR($M8/$L8,0))</f>
        <v/>
      </c>
      <c r="O8" s="42">
        <f>IF($B8="","",IF($C8="BUY",$J8,-$D8*$N8))</f>
        <v/>
      </c>
      <c r="P8" s="42">
        <f>IF($B8="","",IF($C8="SELL",$J8-$D8*$N8,0))</f>
        <v/>
      </c>
      <c r="Q8" s="27" t="n"/>
    </row>
    <row r="9">
      <c r="A9" s="61" t="n"/>
      <c r="B9" s="61" t="n"/>
      <c r="C9" s="61" t="n"/>
      <c r="D9" s="62" t="n"/>
      <c r="E9" s="63" t="n"/>
      <c r="F9" s="64" t="n"/>
      <c r="G9" s="65">
        <f>IF($B9="","",IFERROR($E9/$F9,0))</f>
        <v/>
      </c>
      <c r="H9" s="65">
        <f>IF($B9="","",$D9*$G9)</f>
        <v/>
      </c>
      <c r="I9" s="66" t="n"/>
      <c r="J9" s="65">
        <f>IF($B9="","",IF($C9="BUY",$H9+$I9,$H9-$I9))</f>
        <v/>
      </c>
      <c r="K9" s="67">
        <f>IF($B9="","",IF($C9="BUY",$D9,-$D9))</f>
        <v/>
      </c>
      <c r="L9" s="67">
        <f>IF($B9="","",SUMIFS($K$4:$K8,$B$4:$B8,$B9))</f>
        <v/>
      </c>
      <c r="M9" s="65">
        <f>IF($B9="","",SUMIFS($O$4:$O8,$B$4:$B8,$B9))</f>
        <v/>
      </c>
      <c r="N9" s="65">
        <f>IF($B9="","",IFERROR($M9/$L9,0))</f>
        <v/>
      </c>
      <c r="O9" s="65">
        <f>IF($B9="","",IF($C9="BUY",$J9,-$D9*$N9))</f>
        <v/>
      </c>
      <c r="P9" s="65">
        <f>IF($B9="","",IF($C9="SELL",$J9-$D9*$N9,0))</f>
        <v/>
      </c>
      <c r="Q9" s="69" t="n"/>
    </row>
    <row r="10">
      <c r="A10" s="36" t="n"/>
      <c r="B10" s="36" t="n"/>
      <c r="C10" s="36" t="n"/>
      <c r="D10" s="56" t="n"/>
      <c r="E10" s="57" t="n"/>
      <c r="F10" s="58" t="n"/>
      <c r="G10" s="42">
        <f>IF($B10="","",IFERROR($E10/$F10,0))</f>
        <v/>
      </c>
      <c r="H10" s="42">
        <f>IF($B10="","",$D10*$G10)</f>
        <v/>
      </c>
      <c r="I10" s="59" t="n"/>
      <c r="J10" s="42">
        <f>IF($B10="","",IF($C10="BUY",$H10+$I10,$H10-$I10))</f>
        <v/>
      </c>
      <c r="K10" s="60">
        <f>IF($B10="","",IF($C10="BUY",$D10,-$D10))</f>
        <v/>
      </c>
      <c r="L10" s="60">
        <f>IF($B10="","",SUMIFS($K$4:$K9,$B$4:$B9,$B10))</f>
        <v/>
      </c>
      <c r="M10" s="42">
        <f>IF($B10="","",SUMIFS($O$4:$O9,$B$4:$B9,$B10))</f>
        <v/>
      </c>
      <c r="N10" s="42">
        <f>IF($B10="","",IFERROR($M10/$L10,0))</f>
        <v/>
      </c>
      <c r="O10" s="42">
        <f>IF($B10="","",IF($C10="BUY",$J10,-$D10*$N10))</f>
        <v/>
      </c>
      <c r="P10" s="42">
        <f>IF($B10="","",IF($C10="SELL",$J10-$D10*$N10,0))</f>
        <v/>
      </c>
      <c r="Q10" s="27" t="n"/>
    </row>
    <row r="11">
      <c r="A11" s="61" t="n"/>
      <c r="B11" s="61" t="n"/>
      <c r="C11" s="61" t="n"/>
      <c r="D11" s="62" t="n"/>
      <c r="E11" s="63" t="n"/>
      <c r="F11" s="64" t="n"/>
      <c r="G11" s="65">
        <f>IF($B11="","",IFERROR($E11/$F11,0))</f>
        <v/>
      </c>
      <c r="H11" s="65">
        <f>IF($B11="","",$D11*$G11)</f>
        <v/>
      </c>
      <c r="I11" s="66" t="n"/>
      <c r="J11" s="65">
        <f>IF($B11="","",IF($C11="BUY",$H11+$I11,$H11-$I11))</f>
        <v/>
      </c>
      <c r="K11" s="67">
        <f>IF($B11="","",IF($C11="BUY",$D11,-$D11))</f>
        <v/>
      </c>
      <c r="L11" s="67">
        <f>IF($B11="","",SUMIFS($K$4:$K10,$B$4:$B10,$B11))</f>
        <v/>
      </c>
      <c r="M11" s="65">
        <f>IF($B11="","",SUMIFS($O$4:$O10,$B$4:$B10,$B11))</f>
        <v/>
      </c>
      <c r="N11" s="65">
        <f>IF($B11="","",IFERROR($M11/$L11,0))</f>
        <v/>
      </c>
      <c r="O11" s="65">
        <f>IF($B11="","",IF($C11="BUY",$J11,-$D11*$N11))</f>
        <v/>
      </c>
      <c r="P11" s="65">
        <f>IF($B11="","",IF($C11="SELL",$J11-$D11*$N11,0))</f>
        <v/>
      </c>
      <c r="Q11" s="69" t="n"/>
    </row>
    <row r="12">
      <c r="A12" s="36" t="n"/>
      <c r="B12" s="36" t="n"/>
      <c r="C12" s="36" t="n"/>
      <c r="D12" s="56" t="n"/>
      <c r="E12" s="57" t="n"/>
      <c r="F12" s="58" t="n"/>
      <c r="G12" s="42">
        <f>IF($B12="","",IFERROR($E12/$F12,0))</f>
        <v/>
      </c>
      <c r="H12" s="42">
        <f>IF($B12="","",$D12*$G12)</f>
        <v/>
      </c>
      <c r="I12" s="59" t="n"/>
      <c r="J12" s="42">
        <f>IF($B12="","",IF($C12="BUY",$H12+$I12,$H12-$I12))</f>
        <v/>
      </c>
      <c r="K12" s="60">
        <f>IF($B12="","",IF($C12="BUY",$D12,-$D12))</f>
        <v/>
      </c>
      <c r="L12" s="60">
        <f>IF($B12="","",SUMIFS($K$4:$K11,$B$4:$B11,$B12))</f>
        <v/>
      </c>
      <c r="M12" s="42">
        <f>IF($B12="","",SUMIFS($O$4:$O11,$B$4:$B11,$B12))</f>
        <v/>
      </c>
      <c r="N12" s="42">
        <f>IF($B12="","",IFERROR($M12/$L12,0))</f>
        <v/>
      </c>
      <c r="O12" s="42">
        <f>IF($B12="","",IF($C12="BUY",$J12,-$D12*$N12))</f>
        <v/>
      </c>
      <c r="P12" s="42">
        <f>IF($B12="","",IF($C12="SELL",$J12-$D12*$N12,0))</f>
        <v/>
      </c>
      <c r="Q12" s="27" t="n"/>
    </row>
    <row r="13">
      <c r="A13" s="61" t="n"/>
      <c r="B13" s="61" t="n"/>
      <c r="C13" s="61" t="n"/>
      <c r="D13" s="62" t="n"/>
      <c r="E13" s="63" t="n"/>
      <c r="F13" s="64" t="n"/>
      <c r="G13" s="65">
        <f>IF($B13="","",IFERROR($E13/$F13,0))</f>
        <v/>
      </c>
      <c r="H13" s="65">
        <f>IF($B13="","",$D13*$G13)</f>
        <v/>
      </c>
      <c r="I13" s="66" t="n"/>
      <c r="J13" s="65">
        <f>IF($B13="","",IF($C13="BUY",$H13+$I13,$H13-$I13))</f>
        <v/>
      </c>
      <c r="K13" s="67">
        <f>IF($B13="","",IF($C13="BUY",$D13,-$D13))</f>
        <v/>
      </c>
      <c r="L13" s="67">
        <f>IF($B13="","",SUMIFS($K$4:$K12,$B$4:$B12,$B13))</f>
        <v/>
      </c>
      <c r="M13" s="65">
        <f>IF($B13="","",SUMIFS($O$4:$O12,$B$4:$B12,$B13))</f>
        <v/>
      </c>
      <c r="N13" s="65">
        <f>IF($B13="","",IFERROR($M13/$L13,0))</f>
        <v/>
      </c>
      <c r="O13" s="65">
        <f>IF($B13="","",IF($C13="BUY",$J13,-$D13*$N13))</f>
        <v/>
      </c>
      <c r="P13" s="65">
        <f>IF($B13="","",IF($C13="SELL",$J13-$D13*$N13,0))</f>
        <v/>
      </c>
      <c r="Q13" s="69" t="n"/>
    </row>
    <row r="14">
      <c r="A14" s="36" t="n"/>
      <c r="B14" s="36" t="n"/>
      <c r="C14" s="36" t="n"/>
      <c r="D14" s="56" t="n"/>
      <c r="E14" s="57" t="n"/>
      <c r="F14" s="58" t="n"/>
      <c r="G14" s="42">
        <f>IF($B14="","",IFERROR($E14/$F14,0))</f>
        <v/>
      </c>
      <c r="H14" s="42">
        <f>IF($B14="","",$D14*$G14)</f>
        <v/>
      </c>
      <c r="I14" s="59" t="n"/>
      <c r="J14" s="42">
        <f>IF($B14="","",IF($C14="BUY",$H14+$I14,$H14-$I14))</f>
        <v/>
      </c>
      <c r="K14" s="60">
        <f>IF($B14="","",IF($C14="BUY",$D14,-$D14))</f>
        <v/>
      </c>
      <c r="L14" s="60">
        <f>IF($B14="","",SUMIFS($K$4:$K13,$B$4:$B13,$B14))</f>
        <v/>
      </c>
      <c r="M14" s="42">
        <f>IF($B14="","",SUMIFS($O$4:$O13,$B$4:$B13,$B14))</f>
        <v/>
      </c>
      <c r="N14" s="42">
        <f>IF($B14="","",IFERROR($M14/$L14,0))</f>
        <v/>
      </c>
      <c r="O14" s="42">
        <f>IF($B14="","",IF($C14="BUY",$J14,-$D14*$N14))</f>
        <v/>
      </c>
      <c r="P14" s="42">
        <f>IF($B14="","",IF($C14="SELL",$J14-$D14*$N14,0))</f>
        <v/>
      </c>
      <c r="Q14" s="27" t="n"/>
    </row>
    <row r="15">
      <c r="A15" s="61" t="n"/>
      <c r="B15" s="61" t="n"/>
      <c r="C15" s="61" t="n"/>
      <c r="D15" s="62" t="n"/>
      <c r="E15" s="63" t="n"/>
      <c r="F15" s="64" t="n"/>
      <c r="G15" s="65">
        <f>IF($B15="","",IFERROR($E15/$F15,0))</f>
        <v/>
      </c>
      <c r="H15" s="65">
        <f>IF($B15="","",$D15*$G15)</f>
        <v/>
      </c>
      <c r="I15" s="66" t="n"/>
      <c r="J15" s="65">
        <f>IF($B15="","",IF($C15="BUY",$H15+$I15,$H15-$I15))</f>
        <v/>
      </c>
      <c r="K15" s="67">
        <f>IF($B15="","",IF($C15="BUY",$D15,-$D15))</f>
        <v/>
      </c>
      <c r="L15" s="67">
        <f>IF($B15="","",SUMIFS($K$4:$K14,$B$4:$B14,$B15))</f>
        <v/>
      </c>
      <c r="M15" s="65">
        <f>IF($B15="","",SUMIFS($O$4:$O14,$B$4:$B14,$B15))</f>
        <v/>
      </c>
      <c r="N15" s="65">
        <f>IF($B15="","",IFERROR($M15/$L15,0))</f>
        <v/>
      </c>
      <c r="O15" s="65">
        <f>IF($B15="","",IF($C15="BUY",$J15,-$D15*$N15))</f>
        <v/>
      </c>
      <c r="P15" s="65">
        <f>IF($B15="","",IF($C15="SELL",$J15-$D15*$N15,0))</f>
        <v/>
      </c>
      <c r="Q15" s="69" t="n"/>
    </row>
    <row r="16">
      <c r="A16" s="36" t="n"/>
      <c r="B16" s="36" t="n"/>
      <c r="C16" s="36" t="n"/>
      <c r="D16" s="56" t="n"/>
      <c r="E16" s="57" t="n"/>
      <c r="F16" s="58" t="n"/>
      <c r="G16" s="42">
        <f>IF($B16="","",IFERROR($E16/$F16,0))</f>
        <v/>
      </c>
      <c r="H16" s="42">
        <f>IF($B16="","",$D16*$G16)</f>
        <v/>
      </c>
      <c r="I16" s="59" t="n"/>
      <c r="J16" s="42">
        <f>IF($B16="","",IF($C16="BUY",$H16+$I16,$H16-$I16))</f>
        <v/>
      </c>
      <c r="K16" s="60">
        <f>IF($B16="","",IF($C16="BUY",$D16,-$D16))</f>
        <v/>
      </c>
      <c r="L16" s="60">
        <f>IF($B16="","",SUMIFS($K$4:$K15,$B$4:$B15,$B16))</f>
        <v/>
      </c>
      <c r="M16" s="42">
        <f>IF($B16="","",SUMIFS($O$4:$O15,$B$4:$B15,$B16))</f>
        <v/>
      </c>
      <c r="N16" s="42">
        <f>IF($B16="","",IFERROR($M16/$L16,0))</f>
        <v/>
      </c>
      <c r="O16" s="42">
        <f>IF($B16="","",IF($C16="BUY",$J16,-$D16*$N16))</f>
        <v/>
      </c>
      <c r="P16" s="42">
        <f>IF($B16="","",IF($C16="SELL",$J16-$D16*$N16,0))</f>
        <v/>
      </c>
      <c r="Q16" s="27" t="n"/>
    </row>
    <row r="17">
      <c r="A17" s="61" t="n"/>
      <c r="B17" s="61" t="n"/>
      <c r="C17" s="61" t="n"/>
      <c r="D17" s="62" t="n"/>
      <c r="E17" s="63" t="n"/>
      <c r="F17" s="64" t="n"/>
      <c r="G17" s="65">
        <f>IF($B17="","",IFERROR($E17/$F17,0))</f>
        <v/>
      </c>
      <c r="H17" s="65">
        <f>IF($B17="","",$D17*$G17)</f>
        <v/>
      </c>
      <c r="I17" s="66" t="n"/>
      <c r="J17" s="65">
        <f>IF($B17="","",IF($C17="BUY",$H17+$I17,$H17-$I17))</f>
        <v/>
      </c>
      <c r="K17" s="67">
        <f>IF($B17="","",IF($C17="BUY",$D17,-$D17))</f>
        <v/>
      </c>
      <c r="L17" s="67">
        <f>IF($B17="","",SUMIFS($K$4:$K16,$B$4:$B16,$B17))</f>
        <v/>
      </c>
      <c r="M17" s="65">
        <f>IF($B17="","",SUMIFS($O$4:$O16,$B$4:$B16,$B17))</f>
        <v/>
      </c>
      <c r="N17" s="65">
        <f>IF($B17="","",IFERROR($M17/$L17,0))</f>
        <v/>
      </c>
      <c r="O17" s="65">
        <f>IF($B17="","",IF($C17="BUY",$J17,-$D17*$N17))</f>
        <v/>
      </c>
      <c r="P17" s="65">
        <f>IF($B17="","",IF($C17="SELL",$J17-$D17*$N17,0))</f>
        <v/>
      </c>
      <c r="Q17" s="69" t="n"/>
    </row>
    <row r="18">
      <c r="A18" s="36" t="n"/>
      <c r="B18" s="36" t="n"/>
      <c r="C18" s="36" t="n"/>
      <c r="D18" s="56" t="n"/>
      <c r="E18" s="57" t="n"/>
      <c r="F18" s="58" t="n"/>
      <c r="G18" s="42">
        <f>IF($B18="","",IFERROR($E18/$F18,0))</f>
        <v/>
      </c>
      <c r="H18" s="42">
        <f>IF($B18="","",$D18*$G18)</f>
        <v/>
      </c>
      <c r="I18" s="59" t="n"/>
      <c r="J18" s="42">
        <f>IF($B18="","",IF($C18="BUY",$H18+$I18,$H18-$I18))</f>
        <v/>
      </c>
      <c r="K18" s="60">
        <f>IF($B18="","",IF($C18="BUY",$D18,-$D18))</f>
        <v/>
      </c>
      <c r="L18" s="60">
        <f>IF($B18="","",SUMIFS($K$4:$K17,$B$4:$B17,$B18))</f>
        <v/>
      </c>
      <c r="M18" s="42">
        <f>IF($B18="","",SUMIFS($O$4:$O17,$B$4:$B17,$B18))</f>
        <v/>
      </c>
      <c r="N18" s="42">
        <f>IF($B18="","",IFERROR($M18/$L18,0))</f>
        <v/>
      </c>
      <c r="O18" s="42">
        <f>IF($B18="","",IF($C18="BUY",$J18,-$D18*$N18))</f>
        <v/>
      </c>
      <c r="P18" s="42">
        <f>IF($B18="","",IF($C18="SELL",$J18-$D18*$N18,0))</f>
        <v/>
      </c>
      <c r="Q18" s="27" t="n"/>
    </row>
    <row r="19">
      <c r="A19" s="61" t="n"/>
      <c r="B19" s="61" t="n"/>
      <c r="C19" s="61" t="n"/>
      <c r="D19" s="62" t="n"/>
      <c r="E19" s="63" t="n"/>
      <c r="F19" s="64" t="n"/>
      <c r="G19" s="65">
        <f>IF($B19="","",IFERROR($E19/$F19,0))</f>
        <v/>
      </c>
      <c r="H19" s="65">
        <f>IF($B19="","",$D19*$G19)</f>
        <v/>
      </c>
      <c r="I19" s="66" t="n"/>
      <c r="J19" s="65">
        <f>IF($B19="","",IF($C19="BUY",$H19+$I19,$H19-$I19))</f>
        <v/>
      </c>
      <c r="K19" s="67">
        <f>IF($B19="","",IF($C19="BUY",$D19,-$D19))</f>
        <v/>
      </c>
      <c r="L19" s="67">
        <f>IF($B19="","",SUMIFS($K$4:$K18,$B$4:$B18,$B19))</f>
        <v/>
      </c>
      <c r="M19" s="65">
        <f>IF($B19="","",SUMIFS($O$4:$O18,$B$4:$B18,$B19))</f>
        <v/>
      </c>
      <c r="N19" s="65">
        <f>IF($B19="","",IFERROR($M19/$L19,0))</f>
        <v/>
      </c>
      <c r="O19" s="65">
        <f>IF($B19="","",IF($C19="BUY",$J19,-$D19*$N19))</f>
        <v/>
      </c>
      <c r="P19" s="65">
        <f>IF($B19="","",IF($C19="SELL",$J19-$D19*$N19,0))</f>
        <v/>
      </c>
      <c r="Q19" s="69" t="n"/>
    </row>
    <row r="20">
      <c r="A20" s="36" t="n"/>
      <c r="B20" s="36" t="n"/>
      <c r="C20" s="36" t="n"/>
      <c r="D20" s="56" t="n"/>
      <c r="E20" s="57" t="n"/>
      <c r="F20" s="58" t="n"/>
      <c r="G20" s="42">
        <f>IF($B20="","",IFERROR($E20/$F20,0))</f>
        <v/>
      </c>
      <c r="H20" s="42">
        <f>IF($B20="","",$D20*$G20)</f>
        <v/>
      </c>
      <c r="I20" s="59" t="n"/>
      <c r="J20" s="42">
        <f>IF($B20="","",IF($C20="BUY",$H20+$I20,$H20-$I20))</f>
        <v/>
      </c>
      <c r="K20" s="60">
        <f>IF($B20="","",IF($C20="BUY",$D20,-$D20))</f>
        <v/>
      </c>
      <c r="L20" s="60">
        <f>IF($B20="","",SUMIFS($K$4:$K19,$B$4:$B19,$B20))</f>
        <v/>
      </c>
      <c r="M20" s="42">
        <f>IF($B20="","",SUMIFS($O$4:$O19,$B$4:$B19,$B20))</f>
        <v/>
      </c>
      <c r="N20" s="42">
        <f>IF($B20="","",IFERROR($M20/$L20,0))</f>
        <v/>
      </c>
      <c r="O20" s="42">
        <f>IF($B20="","",IF($C20="BUY",$J20,-$D20*$N20))</f>
        <v/>
      </c>
      <c r="P20" s="42">
        <f>IF($B20="","",IF($C20="SELL",$J20-$D20*$N20,0))</f>
        <v/>
      </c>
      <c r="Q20" s="27" t="n"/>
    </row>
    <row r="21">
      <c r="A21" s="61" t="n"/>
      <c r="B21" s="61" t="n"/>
      <c r="C21" s="61" t="n"/>
      <c r="D21" s="62" t="n"/>
      <c r="E21" s="63" t="n"/>
      <c r="F21" s="64" t="n"/>
      <c r="G21" s="65">
        <f>IF($B21="","",IFERROR($E21/$F21,0))</f>
        <v/>
      </c>
      <c r="H21" s="65">
        <f>IF($B21="","",$D21*$G21)</f>
        <v/>
      </c>
      <c r="I21" s="66" t="n"/>
      <c r="J21" s="65">
        <f>IF($B21="","",IF($C21="BUY",$H21+$I21,$H21-$I21))</f>
        <v/>
      </c>
      <c r="K21" s="67">
        <f>IF($B21="","",IF($C21="BUY",$D21,-$D21))</f>
        <v/>
      </c>
      <c r="L21" s="67">
        <f>IF($B21="","",SUMIFS($K$4:$K20,$B$4:$B20,$B21))</f>
        <v/>
      </c>
      <c r="M21" s="65">
        <f>IF($B21="","",SUMIFS($O$4:$O20,$B$4:$B20,$B21))</f>
        <v/>
      </c>
      <c r="N21" s="65">
        <f>IF($B21="","",IFERROR($M21/$L21,0))</f>
        <v/>
      </c>
      <c r="O21" s="65">
        <f>IF($B21="","",IF($C21="BUY",$J21,-$D21*$N21))</f>
        <v/>
      </c>
      <c r="P21" s="65">
        <f>IF($B21="","",IF($C21="SELL",$J21-$D21*$N21,0))</f>
        <v/>
      </c>
      <c r="Q21" s="69" t="n"/>
    </row>
    <row r="22">
      <c r="A22" s="36" t="n"/>
      <c r="B22" s="36" t="n"/>
      <c r="C22" s="36" t="n"/>
      <c r="D22" s="56" t="n"/>
      <c r="E22" s="57" t="n"/>
      <c r="F22" s="58" t="n"/>
      <c r="G22" s="42">
        <f>IF($B22="","",IFERROR($E22/$F22,0))</f>
        <v/>
      </c>
      <c r="H22" s="42">
        <f>IF($B22="","",$D22*$G22)</f>
        <v/>
      </c>
      <c r="I22" s="59" t="n"/>
      <c r="J22" s="42">
        <f>IF($B22="","",IF($C22="BUY",$H22+$I22,$H22-$I22))</f>
        <v/>
      </c>
      <c r="K22" s="60">
        <f>IF($B22="","",IF($C22="BUY",$D22,-$D22))</f>
        <v/>
      </c>
      <c r="L22" s="60">
        <f>IF($B22="","",SUMIFS($K$4:$K21,$B$4:$B21,$B22))</f>
        <v/>
      </c>
      <c r="M22" s="42">
        <f>IF($B22="","",SUMIFS($O$4:$O21,$B$4:$B21,$B22))</f>
        <v/>
      </c>
      <c r="N22" s="42">
        <f>IF($B22="","",IFERROR($M22/$L22,0))</f>
        <v/>
      </c>
      <c r="O22" s="42">
        <f>IF($B22="","",IF($C22="BUY",$J22,-$D22*$N22))</f>
        <v/>
      </c>
      <c r="P22" s="42">
        <f>IF($B22="","",IF($C22="SELL",$J22-$D22*$N22,0))</f>
        <v/>
      </c>
      <c r="Q22" s="27" t="n"/>
    </row>
    <row r="23">
      <c r="A23" s="61" t="n"/>
      <c r="B23" s="61" t="n"/>
      <c r="C23" s="61" t="n"/>
      <c r="D23" s="62" t="n"/>
      <c r="E23" s="63" t="n"/>
      <c r="F23" s="64" t="n"/>
      <c r="G23" s="65">
        <f>IF($B23="","",IFERROR($E23/$F23,0))</f>
        <v/>
      </c>
      <c r="H23" s="65">
        <f>IF($B23="","",$D23*$G23)</f>
        <v/>
      </c>
      <c r="I23" s="66" t="n"/>
      <c r="J23" s="65">
        <f>IF($B23="","",IF($C23="BUY",$H23+$I23,$H23-$I23))</f>
        <v/>
      </c>
      <c r="K23" s="67">
        <f>IF($B23="","",IF($C23="BUY",$D23,-$D23))</f>
        <v/>
      </c>
      <c r="L23" s="67">
        <f>IF($B23="","",SUMIFS($K$4:$K22,$B$4:$B22,$B23))</f>
        <v/>
      </c>
      <c r="M23" s="65">
        <f>IF($B23="","",SUMIFS($O$4:$O22,$B$4:$B22,$B23))</f>
        <v/>
      </c>
      <c r="N23" s="65">
        <f>IF($B23="","",IFERROR($M23/$L23,0))</f>
        <v/>
      </c>
      <c r="O23" s="65">
        <f>IF($B23="","",IF($C23="BUY",$J23,-$D23*$N23))</f>
        <v/>
      </c>
      <c r="P23" s="65">
        <f>IF($B23="","",IF($C23="SELL",$J23-$D23*$N23,0))</f>
        <v/>
      </c>
      <c r="Q23" s="69" t="n"/>
    </row>
    <row r="24">
      <c r="A24" s="36" t="n"/>
      <c r="B24" s="36" t="n"/>
      <c r="C24" s="36" t="n"/>
      <c r="D24" s="56" t="n"/>
      <c r="E24" s="57" t="n"/>
      <c r="F24" s="58" t="n"/>
      <c r="G24" s="42">
        <f>IF($B24="","",IFERROR($E24/$F24,0))</f>
        <v/>
      </c>
      <c r="H24" s="42">
        <f>IF($B24="","",$D24*$G24)</f>
        <v/>
      </c>
      <c r="I24" s="59" t="n"/>
      <c r="J24" s="42">
        <f>IF($B24="","",IF($C24="BUY",$H24+$I24,$H24-$I24))</f>
        <v/>
      </c>
      <c r="K24" s="60">
        <f>IF($B24="","",IF($C24="BUY",$D24,-$D24))</f>
        <v/>
      </c>
      <c r="L24" s="60">
        <f>IF($B24="","",SUMIFS($K$4:$K23,$B$4:$B23,$B24))</f>
        <v/>
      </c>
      <c r="M24" s="42">
        <f>IF($B24="","",SUMIFS($O$4:$O23,$B$4:$B23,$B24))</f>
        <v/>
      </c>
      <c r="N24" s="42">
        <f>IF($B24="","",IFERROR($M24/$L24,0))</f>
        <v/>
      </c>
      <c r="O24" s="42">
        <f>IF($B24="","",IF($C24="BUY",$J24,-$D24*$N24))</f>
        <v/>
      </c>
      <c r="P24" s="42">
        <f>IF($B24="","",IF($C24="SELL",$J24-$D24*$N24,0))</f>
        <v/>
      </c>
      <c r="Q24" s="27" t="n"/>
    </row>
    <row r="25">
      <c r="A25" s="61" t="n"/>
      <c r="B25" s="61" t="n"/>
      <c r="C25" s="61" t="n"/>
      <c r="D25" s="62" t="n"/>
      <c r="E25" s="63" t="n"/>
      <c r="F25" s="64" t="n"/>
      <c r="G25" s="65">
        <f>IF($B25="","",IFERROR($E25/$F25,0))</f>
        <v/>
      </c>
      <c r="H25" s="65">
        <f>IF($B25="","",$D25*$G25)</f>
        <v/>
      </c>
      <c r="I25" s="66" t="n"/>
      <c r="J25" s="65">
        <f>IF($B25="","",IF($C25="BUY",$H25+$I25,$H25-$I25))</f>
        <v/>
      </c>
      <c r="K25" s="67">
        <f>IF($B25="","",IF($C25="BUY",$D25,-$D25))</f>
        <v/>
      </c>
      <c r="L25" s="67">
        <f>IF($B25="","",SUMIFS($K$4:$K24,$B$4:$B24,$B25))</f>
        <v/>
      </c>
      <c r="M25" s="65">
        <f>IF($B25="","",SUMIFS($O$4:$O24,$B$4:$B24,$B25))</f>
        <v/>
      </c>
      <c r="N25" s="65">
        <f>IF($B25="","",IFERROR($M25/$L25,0))</f>
        <v/>
      </c>
      <c r="O25" s="65">
        <f>IF($B25="","",IF($C25="BUY",$J25,-$D25*$N25))</f>
        <v/>
      </c>
      <c r="P25" s="65">
        <f>IF($B25="","",IF($C25="SELL",$J25-$D25*$N25,0))</f>
        <v/>
      </c>
      <c r="Q25" s="69" t="n"/>
    </row>
    <row r="26">
      <c r="A26" s="36" t="n"/>
      <c r="B26" s="36" t="n"/>
      <c r="C26" s="36" t="n"/>
      <c r="D26" s="56" t="n"/>
      <c r="E26" s="57" t="n"/>
      <c r="F26" s="58" t="n"/>
      <c r="G26" s="42">
        <f>IF($B26="","",IFERROR($E26/$F26,0))</f>
        <v/>
      </c>
      <c r="H26" s="42">
        <f>IF($B26="","",$D26*$G26)</f>
        <v/>
      </c>
      <c r="I26" s="59" t="n"/>
      <c r="J26" s="42">
        <f>IF($B26="","",IF($C26="BUY",$H26+$I26,$H26-$I26))</f>
        <v/>
      </c>
      <c r="K26" s="60">
        <f>IF($B26="","",IF($C26="BUY",$D26,-$D26))</f>
        <v/>
      </c>
      <c r="L26" s="60">
        <f>IF($B26="","",SUMIFS($K$4:$K25,$B$4:$B25,$B26))</f>
        <v/>
      </c>
      <c r="M26" s="42">
        <f>IF($B26="","",SUMIFS($O$4:$O25,$B$4:$B25,$B26))</f>
        <v/>
      </c>
      <c r="N26" s="42">
        <f>IF($B26="","",IFERROR($M26/$L26,0))</f>
        <v/>
      </c>
      <c r="O26" s="42">
        <f>IF($B26="","",IF($C26="BUY",$J26,-$D26*$N26))</f>
        <v/>
      </c>
      <c r="P26" s="42">
        <f>IF($B26="","",IF($C26="SELL",$J26-$D26*$N26,0))</f>
        <v/>
      </c>
      <c r="Q26" s="27" t="n"/>
    </row>
    <row r="27">
      <c r="A27" s="61" t="n"/>
      <c r="B27" s="61" t="n"/>
      <c r="C27" s="61" t="n"/>
      <c r="D27" s="62" t="n"/>
      <c r="E27" s="63" t="n"/>
      <c r="F27" s="64" t="n"/>
      <c r="G27" s="65">
        <f>IF($B27="","",IFERROR($E27/$F27,0))</f>
        <v/>
      </c>
      <c r="H27" s="65">
        <f>IF($B27="","",$D27*$G27)</f>
        <v/>
      </c>
      <c r="I27" s="66" t="n"/>
      <c r="J27" s="65">
        <f>IF($B27="","",IF($C27="BUY",$H27+$I27,$H27-$I27))</f>
        <v/>
      </c>
      <c r="K27" s="67">
        <f>IF($B27="","",IF($C27="BUY",$D27,-$D27))</f>
        <v/>
      </c>
      <c r="L27" s="67">
        <f>IF($B27="","",SUMIFS($K$4:$K26,$B$4:$B26,$B27))</f>
        <v/>
      </c>
      <c r="M27" s="65">
        <f>IF($B27="","",SUMIFS($O$4:$O26,$B$4:$B26,$B27))</f>
        <v/>
      </c>
      <c r="N27" s="65">
        <f>IF($B27="","",IFERROR($M27/$L27,0))</f>
        <v/>
      </c>
      <c r="O27" s="65">
        <f>IF($B27="","",IF($C27="BUY",$J27,-$D27*$N27))</f>
        <v/>
      </c>
      <c r="P27" s="65">
        <f>IF($B27="","",IF($C27="SELL",$J27-$D27*$N27,0))</f>
        <v/>
      </c>
      <c r="Q27" s="69" t="n"/>
    </row>
    <row r="28">
      <c r="A28" s="36" t="n"/>
      <c r="B28" s="36" t="n"/>
      <c r="C28" s="36" t="n"/>
      <c r="D28" s="56" t="n"/>
      <c r="E28" s="57" t="n"/>
      <c r="F28" s="58" t="n"/>
      <c r="G28" s="42">
        <f>IF($B28="","",IFERROR($E28/$F28,0))</f>
        <v/>
      </c>
      <c r="H28" s="42">
        <f>IF($B28="","",$D28*$G28)</f>
        <v/>
      </c>
      <c r="I28" s="59" t="n"/>
      <c r="J28" s="42">
        <f>IF($B28="","",IF($C28="BUY",$H28+$I28,$H28-$I28))</f>
        <v/>
      </c>
      <c r="K28" s="60">
        <f>IF($B28="","",IF($C28="BUY",$D28,-$D28))</f>
        <v/>
      </c>
      <c r="L28" s="60">
        <f>IF($B28="","",SUMIFS($K$4:$K27,$B$4:$B27,$B28))</f>
        <v/>
      </c>
      <c r="M28" s="42">
        <f>IF($B28="","",SUMIFS($O$4:$O27,$B$4:$B27,$B28))</f>
        <v/>
      </c>
      <c r="N28" s="42">
        <f>IF($B28="","",IFERROR($M28/$L28,0))</f>
        <v/>
      </c>
      <c r="O28" s="42">
        <f>IF($B28="","",IF($C28="BUY",$J28,-$D28*$N28))</f>
        <v/>
      </c>
      <c r="P28" s="42">
        <f>IF($B28="","",IF($C28="SELL",$J28-$D28*$N28,0))</f>
        <v/>
      </c>
      <c r="Q28" s="27" t="n"/>
    </row>
    <row r="29">
      <c r="A29" s="61" t="n"/>
      <c r="B29" s="61" t="n"/>
      <c r="C29" s="61" t="n"/>
      <c r="D29" s="62" t="n"/>
      <c r="E29" s="63" t="n"/>
      <c r="F29" s="64" t="n"/>
      <c r="G29" s="65">
        <f>IF($B29="","",IFERROR($E29/$F29,0))</f>
        <v/>
      </c>
      <c r="H29" s="65">
        <f>IF($B29="","",$D29*$G29)</f>
        <v/>
      </c>
      <c r="I29" s="66" t="n"/>
      <c r="J29" s="65">
        <f>IF($B29="","",IF($C29="BUY",$H29+$I29,$H29-$I29))</f>
        <v/>
      </c>
      <c r="K29" s="67">
        <f>IF($B29="","",IF($C29="BUY",$D29,-$D29))</f>
        <v/>
      </c>
      <c r="L29" s="67">
        <f>IF($B29="","",SUMIFS($K$4:$K28,$B$4:$B28,$B29))</f>
        <v/>
      </c>
      <c r="M29" s="65">
        <f>IF($B29="","",SUMIFS($O$4:$O28,$B$4:$B28,$B29))</f>
        <v/>
      </c>
      <c r="N29" s="65">
        <f>IF($B29="","",IFERROR($M29/$L29,0))</f>
        <v/>
      </c>
      <c r="O29" s="65">
        <f>IF($B29="","",IF($C29="BUY",$J29,-$D29*$N29))</f>
        <v/>
      </c>
      <c r="P29" s="65">
        <f>IF($B29="","",IF($C29="SELL",$J29-$D29*$N29,0))</f>
        <v/>
      </c>
      <c r="Q29" s="69" t="n"/>
    </row>
    <row r="30">
      <c r="A30" s="36" t="n"/>
      <c r="B30" s="36" t="n"/>
      <c r="C30" s="36" t="n"/>
      <c r="D30" s="56" t="n"/>
      <c r="E30" s="57" t="n"/>
      <c r="F30" s="58" t="n"/>
      <c r="G30" s="42">
        <f>IF($B30="","",IFERROR($E30/$F30,0))</f>
        <v/>
      </c>
      <c r="H30" s="42">
        <f>IF($B30="","",$D30*$G30)</f>
        <v/>
      </c>
      <c r="I30" s="59" t="n"/>
      <c r="J30" s="42">
        <f>IF($B30="","",IF($C30="BUY",$H30+$I30,$H30-$I30))</f>
        <v/>
      </c>
      <c r="K30" s="60">
        <f>IF($B30="","",IF($C30="BUY",$D30,-$D30))</f>
        <v/>
      </c>
      <c r="L30" s="60">
        <f>IF($B30="","",SUMIFS($K$4:$K29,$B$4:$B29,$B30))</f>
        <v/>
      </c>
      <c r="M30" s="42">
        <f>IF($B30="","",SUMIFS($O$4:$O29,$B$4:$B29,$B30))</f>
        <v/>
      </c>
      <c r="N30" s="42">
        <f>IF($B30="","",IFERROR($M30/$L30,0))</f>
        <v/>
      </c>
      <c r="O30" s="42">
        <f>IF($B30="","",IF($C30="BUY",$J30,-$D30*$N30))</f>
        <v/>
      </c>
      <c r="P30" s="42">
        <f>IF($B30="","",IF($C30="SELL",$J30-$D30*$N30,0))</f>
        <v/>
      </c>
      <c r="Q30" s="27" t="n"/>
    </row>
    <row r="31">
      <c r="A31" s="61" t="n"/>
      <c r="B31" s="61" t="n"/>
      <c r="C31" s="61" t="n"/>
      <c r="D31" s="62" t="n"/>
      <c r="E31" s="63" t="n"/>
      <c r="F31" s="64" t="n"/>
      <c r="G31" s="65">
        <f>IF($B31="","",IFERROR($E31/$F31,0))</f>
        <v/>
      </c>
      <c r="H31" s="65">
        <f>IF($B31="","",$D31*$G31)</f>
        <v/>
      </c>
      <c r="I31" s="66" t="n"/>
      <c r="J31" s="65">
        <f>IF($B31="","",IF($C31="BUY",$H31+$I31,$H31-$I31))</f>
        <v/>
      </c>
      <c r="K31" s="67">
        <f>IF($B31="","",IF($C31="BUY",$D31,-$D31))</f>
        <v/>
      </c>
      <c r="L31" s="67">
        <f>IF($B31="","",SUMIFS($K$4:$K30,$B$4:$B30,$B31))</f>
        <v/>
      </c>
      <c r="M31" s="65">
        <f>IF($B31="","",SUMIFS($O$4:$O30,$B$4:$B30,$B31))</f>
        <v/>
      </c>
      <c r="N31" s="65">
        <f>IF($B31="","",IFERROR($M31/$L31,0))</f>
        <v/>
      </c>
      <c r="O31" s="65">
        <f>IF($B31="","",IF($C31="BUY",$J31,-$D31*$N31))</f>
        <v/>
      </c>
      <c r="P31" s="65">
        <f>IF($B31="","",IF($C31="SELL",$J31-$D31*$N31,0))</f>
        <v/>
      </c>
      <c r="Q31" s="69" t="n"/>
    </row>
    <row r="32">
      <c r="A32" s="36" t="n"/>
      <c r="B32" s="36" t="n"/>
      <c r="C32" s="36" t="n"/>
      <c r="D32" s="56" t="n"/>
      <c r="E32" s="57" t="n"/>
      <c r="F32" s="58" t="n"/>
      <c r="G32" s="42">
        <f>IF($B32="","",IFERROR($E32/$F32,0))</f>
        <v/>
      </c>
      <c r="H32" s="42">
        <f>IF($B32="","",$D32*$G32)</f>
        <v/>
      </c>
      <c r="I32" s="59" t="n"/>
      <c r="J32" s="42">
        <f>IF($B32="","",IF($C32="BUY",$H32+$I32,$H32-$I32))</f>
        <v/>
      </c>
      <c r="K32" s="60">
        <f>IF($B32="","",IF($C32="BUY",$D32,-$D32))</f>
        <v/>
      </c>
      <c r="L32" s="60">
        <f>IF($B32="","",SUMIFS($K$4:$K31,$B$4:$B31,$B32))</f>
        <v/>
      </c>
      <c r="M32" s="42">
        <f>IF($B32="","",SUMIFS($O$4:$O31,$B$4:$B31,$B32))</f>
        <v/>
      </c>
      <c r="N32" s="42">
        <f>IF($B32="","",IFERROR($M32/$L32,0))</f>
        <v/>
      </c>
      <c r="O32" s="42">
        <f>IF($B32="","",IF($C32="BUY",$J32,-$D32*$N32))</f>
        <v/>
      </c>
      <c r="P32" s="42">
        <f>IF($B32="","",IF($C32="SELL",$J32-$D32*$N32,0))</f>
        <v/>
      </c>
      <c r="Q32" s="27" t="n"/>
    </row>
    <row r="33">
      <c r="A33" s="61" t="n"/>
      <c r="B33" s="61" t="n"/>
      <c r="C33" s="61" t="n"/>
      <c r="D33" s="62" t="n"/>
      <c r="E33" s="63" t="n"/>
      <c r="F33" s="64" t="n"/>
      <c r="G33" s="65">
        <f>IF($B33="","",IFERROR($E33/$F33,0))</f>
        <v/>
      </c>
      <c r="H33" s="65">
        <f>IF($B33="","",$D33*$G33)</f>
        <v/>
      </c>
      <c r="I33" s="66" t="n"/>
      <c r="J33" s="65">
        <f>IF($B33="","",IF($C33="BUY",$H33+$I33,$H33-$I33))</f>
        <v/>
      </c>
      <c r="K33" s="67">
        <f>IF($B33="","",IF($C33="BUY",$D33,-$D33))</f>
        <v/>
      </c>
      <c r="L33" s="67">
        <f>IF($B33="","",SUMIFS($K$4:$K32,$B$4:$B32,$B33))</f>
        <v/>
      </c>
      <c r="M33" s="65">
        <f>IF($B33="","",SUMIFS($O$4:$O32,$B$4:$B32,$B33))</f>
        <v/>
      </c>
      <c r="N33" s="65">
        <f>IF($B33="","",IFERROR($M33/$L33,0))</f>
        <v/>
      </c>
      <c r="O33" s="65">
        <f>IF($B33="","",IF($C33="BUY",$J33,-$D33*$N33))</f>
        <v/>
      </c>
      <c r="P33" s="65">
        <f>IF($B33="","",IF($C33="SELL",$J33-$D33*$N33,0))</f>
        <v/>
      </c>
      <c r="Q33" s="69" t="n"/>
    </row>
    <row r="34">
      <c r="A34" s="36" t="n"/>
      <c r="B34" s="36" t="n"/>
      <c r="C34" s="36" t="n"/>
      <c r="D34" s="56" t="n"/>
      <c r="E34" s="57" t="n"/>
      <c r="F34" s="58" t="n"/>
      <c r="G34" s="42">
        <f>IF($B34="","",IFERROR($E34/$F34,0))</f>
        <v/>
      </c>
      <c r="H34" s="42">
        <f>IF($B34="","",$D34*$G34)</f>
        <v/>
      </c>
      <c r="I34" s="59" t="n"/>
      <c r="J34" s="42">
        <f>IF($B34="","",IF($C34="BUY",$H34+$I34,$H34-$I34))</f>
        <v/>
      </c>
      <c r="K34" s="60">
        <f>IF($B34="","",IF($C34="BUY",$D34,-$D34))</f>
        <v/>
      </c>
      <c r="L34" s="60">
        <f>IF($B34="","",SUMIFS($K$4:$K33,$B$4:$B33,$B34))</f>
        <v/>
      </c>
      <c r="M34" s="42">
        <f>IF($B34="","",SUMIFS($O$4:$O33,$B$4:$B33,$B34))</f>
        <v/>
      </c>
      <c r="N34" s="42">
        <f>IF($B34="","",IFERROR($M34/$L34,0))</f>
        <v/>
      </c>
      <c r="O34" s="42">
        <f>IF($B34="","",IF($C34="BUY",$J34,-$D34*$N34))</f>
        <v/>
      </c>
      <c r="P34" s="42">
        <f>IF($B34="","",IF($C34="SELL",$J34-$D34*$N34,0))</f>
        <v/>
      </c>
      <c r="Q34" s="27" t="n"/>
    </row>
    <row r="35">
      <c r="A35" s="61" t="n"/>
      <c r="B35" s="61" t="n"/>
      <c r="C35" s="61" t="n"/>
      <c r="D35" s="62" t="n"/>
      <c r="E35" s="63" t="n"/>
      <c r="F35" s="64" t="n"/>
      <c r="G35" s="65">
        <f>IF($B35="","",IFERROR($E35/$F35,0))</f>
        <v/>
      </c>
      <c r="H35" s="65">
        <f>IF($B35="","",$D35*$G35)</f>
        <v/>
      </c>
      <c r="I35" s="66" t="n"/>
      <c r="J35" s="65">
        <f>IF($B35="","",IF($C35="BUY",$H35+$I35,$H35-$I35))</f>
        <v/>
      </c>
      <c r="K35" s="67">
        <f>IF($B35="","",IF($C35="BUY",$D35,-$D35))</f>
        <v/>
      </c>
      <c r="L35" s="67">
        <f>IF($B35="","",SUMIFS($K$4:$K34,$B$4:$B34,$B35))</f>
        <v/>
      </c>
      <c r="M35" s="65">
        <f>IF($B35="","",SUMIFS($O$4:$O34,$B$4:$B34,$B35))</f>
        <v/>
      </c>
      <c r="N35" s="65">
        <f>IF($B35="","",IFERROR($M35/$L35,0))</f>
        <v/>
      </c>
      <c r="O35" s="65">
        <f>IF($B35="","",IF($C35="BUY",$J35,-$D35*$N35))</f>
        <v/>
      </c>
      <c r="P35" s="65">
        <f>IF($B35="","",IF($C35="SELL",$J35-$D35*$N35,0))</f>
        <v/>
      </c>
      <c r="Q35" s="69" t="n"/>
    </row>
    <row r="36">
      <c r="A36" s="36" t="n"/>
      <c r="B36" s="36" t="n"/>
      <c r="C36" s="36" t="n"/>
      <c r="D36" s="56" t="n"/>
      <c r="E36" s="57" t="n"/>
      <c r="F36" s="58" t="n"/>
      <c r="G36" s="42">
        <f>IF($B36="","",IFERROR($E36/$F36,0))</f>
        <v/>
      </c>
      <c r="H36" s="42">
        <f>IF($B36="","",$D36*$G36)</f>
        <v/>
      </c>
      <c r="I36" s="59" t="n"/>
      <c r="J36" s="42">
        <f>IF($B36="","",IF($C36="BUY",$H36+$I36,$H36-$I36))</f>
        <v/>
      </c>
      <c r="K36" s="60">
        <f>IF($B36="","",IF($C36="BUY",$D36,-$D36))</f>
        <v/>
      </c>
      <c r="L36" s="60">
        <f>IF($B36="","",SUMIFS($K$4:$K35,$B$4:$B35,$B36))</f>
        <v/>
      </c>
      <c r="M36" s="42">
        <f>IF($B36="","",SUMIFS($O$4:$O35,$B$4:$B35,$B36))</f>
        <v/>
      </c>
      <c r="N36" s="42">
        <f>IF($B36="","",IFERROR($M36/$L36,0))</f>
        <v/>
      </c>
      <c r="O36" s="42">
        <f>IF($B36="","",IF($C36="BUY",$J36,-$D36*$N36))</f>
        <v/>
      </c>
      <c r="P36" s="42">
        <f>IF($B36="","",IF($C36="SELL",$J36-$D36*$N36,0))</f>
        <v/>
      </c>
      <c r="Q36" s="27" t="n"/>
    </row>
    <row r="37">
      <c r="A37" s="61" t="n"/>
      <c r="B37" s="61" t="n"/>
      <c r="C37" s="61" t="n"/>
      <c r="D37" s="62" t="n"/>
      <c r="E37" s="63" t="n"/>
      <c r="F37" s="64" t="n"/>
      <c r="G37" s="65">
        <f>IF($B37="","",IFERROR($E37/$F37,0))</f>
        <v/>
      </c>
      <c r="H37" s="65">
        <f>IF($B37="","",$D37*$G37)</f>
        <v/>
      </c>
      <c r="I37" s="66" t="n"/>
      <c r="J37" s="65">
        <f>IF($B37="","",IF($C37="BUY",$H37+$I37,$H37-$I37))</f>
        <v/>
      </c>
      <c r="K37" s="67">
        <f>IF($B37="","",IF($C37="BUY",$D37,-$D37))</f>
        <v/>
      </c>
      <c r="L37" s="67">
        <f>IF($B37="","",SUMIFS($K$4:$K36,$B$4:$B36,$B37))</f>
        <v/>
      </c>
      <c r="M37" s="65">
        <f>IF($B37="","",SUMIFS($O$4:$O36,$B$4:$B36,$B37))</f>
        <v/>
      </c>
      <c r="N37" s="65">
        <f>IF($B37="","",IFERROR($M37/$L37,0))</f>
        <v/>
      </c>
      <c r="O37" s="65">
        <f>IF($B37="","",IF($C37="BUY",$J37,-$D37*$N37))</f>
        <v/>
      </c>
      <c r="P37" s="65">
        <f>IF($B37="","",IF($C37="SELL",$J37-$D37*$N37,0))</f>
        <v/>
      </c>
      <c r="Q37" s="69" t="n"/>
    </row>
    <row r="38">
      <c r="A38" s="36" t="n"/>
      <c r="B38" s="36" t="n"/>
      <c r="C38" s="36" t="n"/>
      <c r="D38" s="56" t="n"/>
      <c r="E38" s="57" t="n"/>
      <c r="F38" s="58" t="n"/>
      <c r="G38" s="42">
        <f>IF($B38="","",IFERROR($E38/$F38,0))</f>
        <v/>
      </c>
      <c r="H38" s="42">
        <f>IF($B38="","",$D38*$G38)</f>
        <v/>
      </c>
      <c r="I38" s="59" t="n"/>
      <c r="J38" s="42">
        <f>IF($B38="","",IF($C38="BUY",$H38+$I38,$H38-$I38))</f>
        <v/>
      </c>
      <c r="K38" s="60">
        <f>IF($B38="","",IF($C38="BUY",$D38,-$D38))</f>
        <v/>
      </c>
      <c r="L38" s="60">
        <f>IF($B38="","",SUMIFS($K$4:$K37,$B$4:$B37,$B38))</f>
        <v/>
      </c>
      <c r="M38" s="42">
        <f>IF($B38="","",SUMIFS($O$4:$O37,$B$4:$B37,$B38))</f>
        <v/>
      </c>
      <c r="N38" s="42">
        <f>IF($B38="","",IFERROR($M38/$L38,0))</f>
        <v/>
      </c>
      <c r="O38" s="42">
        <f>IF($B38="","",IF($C38="BUY",$J38,-$D38*$N38))</f>
        <v/>
      </c>
      <c r="P38" s="42">
        <f>IF($B38="","",IF($C38="SELL",$J38-$D38*$N38,0))</f>
        <v/>
      </c>
      <c r="Q38" s="27" t="n"/>
    </row>
    <row r="39">
      <c r="A39" s="61" t="n"/>
      <c r="B39" s="61" t="n"/>
      <c r="C39" s="61" t="n"/>
      <c r="D39" s="62" t="n"/>
      <c r="E39" s="63" t="n"/>
      <c r="F39" s="64" t="n"/>
      <c r="G39" s="65">
        <f>IF($B39="","",IFERROR($E39/$F39,0))</f>
        <v/>
      </c>
      <c r="H39" s="65">
        <f>IF($B39="","",$D39*$G39)</f>
        <v/>
      </c>
      <c r="I39" s="66" t="n"/>
      <c r="J39" s="65">
        <f>IF($B39="","",IF($C39="BUY",$H39+$I39,$H39-$I39))</f>
        <v/>
      </c>
      <c r="K39" s="67">
        <f>IF($B39="","",IF($C39="BUY",$D39,-$D39))</f>
        <v/>
      </c>
      <c r="L39" s="67">
        <f>IF($B39="","",SUMIFS($K$4:$K38,$B$4:$B38,$B39))</f>
        <v/>
      </c>
      <c r="M39" s="65">
        <f>IF($B39="","",SUMIFS($O$4:$O38,$B$4:$B38,$B39))</f>
        <v/>
      </c>
      <c r="N39" s="65">
        <f>IF($B39="","",IFERROR($M39/$L39,0))</f>
        <v/>
      </c>
      <c r="O39" s="65">
        <f>IF($B39="","",IF($C39="BUY",$J39,-$D39*$N39))</f>
        <v/>
      </c>
      <c r="P39" s="65">
        <f>IF($B39="","",IF($C39="SELL",$J39-$D39*$N39,0))</f>
        <v/>
      </c>
      <c r="Q39" s="69" t="n"/>
    </row>
    <row r="40">
      <c r="A40" s="36" t="n"/>
      <c r="B40" s="36" t="n"/>
      <c r="C40" s="36" t="n"/>
      <c r="D40" s="56" t="n"/>
      <c r="E40" s="57" t="n"/>
      <c r="F40" s="58" t="n"/>
      <c r="G40" s="42">
        <f>IF($B40="","",IFERROR($E40/$F40,0))</f>
        <v/>
      </c>
      <c r="H40" s="42">
        <f>IF($B40="","",$D40*$G40)</f>
        <v/>
      </c>
      <c r="I40" s="59" t="n"/>
      <c r="J40" s="42">
        <f>IF($B40="","",IF($C40="BUY",$H40+$I40,$H40-$I40))</f>
        <v/>
      </c>
      <c r="K40" s="60">
        <f>IF($B40="","",IF($C40="BUY",$D40,-$D40))</f>
        <v/>
      </c>
      <c r="L40" s="60">
        <f>IF($B40="","",SUMIFS($K$4:$K39,$B$4:$B39,$B40))</f>
        <v/>
      </c>
      <c r="M40" s="42">
        <f>IF($B40="","",SUMIFS($O$4:$O39,$B$4:$B39,$B40))</f>
        <v/>
      </c>
      <c r="N40" s="42">
        <f>IF($B40="","",IFERROR($M40/$L40,0))</f>
        <v/>
      </c>
      <c r="O40" s="42">
        <f>IF($B40="","",IF($C40="BUY",$J40,-$D40*$N40))</f>
        <v/>
      </c>
      <c r="P40" s="42">
        <f>IF($B40="","",IF($C40="SELL",$J40-$D40*$N40,0))</f>
        <v/>
      </c>
      <c r="Q40" s="27" t="n"/>
    </row>
    <row r="41">
      <c r="A41" s="61" t="n"/>
      <c r="B41" s="61" t="n"/>
      <c r="C41" s="61" t="n"/>
      <c r="D41" s="62" t="n"/>
      <c r="E41" s="63" t="n"/>
      <c r="F41" s="64" t="n"/>
      <c r="G41" s="65">
        <f>IF($B41="","",IFERROR($E41/$F41,0))</f>
        <v/>
      </c>
      <c r="H41" s="65">
        <f>IF($B41="","",$D41*$G41)</f>
        <v/>
      </c>
      <c r="I41" s="66" t="n"/>
      <c r="J41" s="65">
        <f>IF($B41="","",IF($C41="BUY",$H41+$I41,$H41-$I41))</f>
        <v/>
      </c>
      <c r="K41" s="67">
        <f>IF($B41="","",IF($C41="BUY",$D41,-$D41))</f>
        <v/>
      </c>
      <c r="L41" s="67">
        <f>IF($B41="","",SUMIFS($K$4:$K40,$B$4:$B40,$B41))</f>
        <v/>
      </c>
      <c r="M41" s="65">
        <f>IF($B41="","",SUMIFS($O$4:$O40,$B$4:$B40,$B41))</f>
        <v/>
      </c>
      <c r="N41" s="65">
        <f>IF($B41="","",IFERROR($M41/$L41,0))</f>
        <v/>
      </c>
      <c r="O41" s="65">
        <f>IF($B41="","",IF($C41="BUY",$J41,-$D41*$N41))</f>
        <v/>
      </c>
      <c r="P41" s="65">
        <f>IF($B41="","",IF($C41="SELL",$J41-$D41*$N41,0))</f>
        <v/>
      </c>
      <c r="Q41" s="69" t="n"/>
    </row>
    <row r="42">
      <c r="A42" s="36" t="n"/>
      <c r="B42" s="36" t="n"/>
      <c r="C42" s="36" t="n"/>
      <c r="D42" s="56" t="n"/>
      <c r="E42" s="57" t="n"/>
      <c r="F42" s="58" t="n"/>
      <c r="G42" s="42">
        <f>IF($B42="","",IFERROR($E42/$F42,0))</f>
        <v/>
      </c>
      <c r="H42" s="42">
        <f>IF($B42="","",$D42*$G42)</f>
        <v/>
      </c>
      <c r="I42" s="59" t="n"/>
      <c r="J42" s="42">
        <f>IF($B42="","",IF($C42="BUY",$H42+$I42,$H42-$I42))</f>
        <v/>
      </c>
      <c r="K42" s="60">
        <f>IF($B42="","",IF($C42="BUY",$D42,-$D42))</f>
        <v/>
      </c>
      <c r="L42" s="60">
        <f>IF($B42="","",SUMIFS($K$4:$K41,$B$4:$B41,$B42))</f>
        <v/>
      </c>
      <c r="M42" s="42">
        <f>IF($B42="","",SUMIFS($O$4:$O41,$B$4:$B41,$B42))</f>
        <v/>
      </c>
      <c r="N42" s="42">
        <f>IF($B42="","",IFERROR($M42/$L42,0))</f>
        <v/>
      </c>
      <c r="O42" s="42">
        <f>IF($B42="","",IF($C42="BUY",$J42,-$D42*$N42))</f>
        <v/>
      </c>
      <c r="P42" s="42">
        <f>IF($B42="","",IF($C42="SELL",$J42-$D42*$N42,0))</f>
        <v/>
      </c>
      <c r="Q42" s="27" t="n"/>
    </row>
    <row r="43">
      <c r="A43" s="61" t="n"/>
      <c r="B43" s="61" t="n"/>
      <c r="C43" s="61" t="n"/>
      <c r="D43" s="62" t="n"/>
      <c r="E43" s="63" t="n"/>
      <c r="F43" s="64" t="n"/>
      <c r="G43" s="65">
        <f>IF($B43="","",IFERROR($E43/$F43,0))</f>
        <v/>
      </c>
      <c r="H43" s="65">
        <f>IF($B43="","",$D43*$G43)</f>
        <v/>
      </c>
      <c r="I43" s="66" t="n"/>
      <c r="J43" s="65">
        <f>IF($B43="","",IF($C43="BUY",$H43+$I43,$H43-$I43))</f>
        <v/>
      </c>
      <c r="K43" s="67">
        <f>IF($B43="","",IF($C43="BUY",$D43,-$D43))</f>
        <v/>
      </c>
      <c r="L43" s="67">
        <f>IF($B43="","",SUMIFS($K$4:$K42,$B$4:$B42,$B43))</f>
        <v/>
      </c>
      <c r="M43" s="65">
        <f>IF($B43="","",SUMIFS($O$4:$O42,$B$4:$B42,$B43))</f>
        <v/>
      </c>
      <c r="N43" s="65">
        <f>IF($B43="","",IFERROR($M43/$L43,0))</f>
        <v/>
      </c>
      <c r="O43" s="65">
        <f>IF($B43="","",IF($C43="BUY",$J43,-$D43*$N43))</f>
        <v/>
      </c>
      <c r="P43" s="65">
        <f>IF($B43="","",IF($C43="SELL",$J43-$D43*$N43,0))</f>
        <v/>
      </c>
      <c r="Q43" s="69" t="n"/>
    </row>
    <row r="44">
      <c r="A44" s="36" t="n"/>
      <c r="B44" s="36" t="n"/>
      <c r="C44" s="36" t="n"/>
      <c r="D44" s="56" t="n"/>
      <c r="E44" s="57" t="n"/>
      <c r="F44" s="58" t="n"/>
      <c r="G44" s="42">
        <f>IF($B44="","",IFERROR($E44/$F44,0))</f>
        <v/>
      </c>
      <c r="H44" s="42">
        <f>IF($B44="","",$D44*$G44)</f>
        <v/>
      </c>
      <c r="I44" s="59" t="n"/>
      <c r="J44" s="42">
        <f>IF($B44="","",IF($C44="BUY",$H44+$I44,$H44-$I44))</f>
        <v/>
      </c>
      <c r="K44" s="60">
        <f>IF($B44="","",IF($C44="BUY",$D44,-$D44))</f>
        <v/>
      </c>
      <c r="L44" s="60">
        <f>IF($B44="","",SUMIFS($K$4:$K43,$B$4:$B43,$B44))</f>
        <v/>
      </c>
      <c r="M44" s="42">
        <f>IF($B44="","",SUMIFS($O$4:$O43,$B$4:$B43,$B44))</f>
        <v/>
      </c>
      <c r="N44" s="42">
        <f>IF($B44="","",IFERROR($M44/$L44,0))</f>
        <v/>
      </c>
      <c r="O44" s="42">
        <f>IF($B44="","",IF($C44="BUY",$J44,-$D44*$N44))</f>
        <v/>
      </c>
      <c r="P44" s="42">
        <f>IF($B44="","",IF($C44="SELL",$J44-$D44*$N44,0))</f>
        <v/>
      </c>
      <c r="Q44" s="27" t="n"/>
    </row>
    <row r="45">
      <c r="A45" s="61" t="n"/>
      <c r="B45" s="61" t="n"/>
      <c r="C45" s="61" t="n"/>
      <c r="D45" s="62" t="n"/>
      <c r="E45" s="63" t="n"/>
      <c r="F45" s="64" t="n"/>
      <c r="G45" s="65">
        <f>IF($B45="","",IFERROR($E45/$F45,0))</f>
        <v/>
      </c>
      <c r="H45" s="65">
        <f>IF($B45="","",$D45*$G45)</f>
        <v/>
      </c>
      <c r="I45" s="66" t="n"/>
      <c r="J45" s="65">
        <f>IF($B45="","",IF($C45="BUY",$H45+$I45,$H45-$I45))</f>
        <v/>
      </c>
      <c r="K45" s="67">
        <f>IF($B45="","",IF($C45="BUY",$D45,-$D45))</f>
        <v/>
      </c>
      <c r="L45" s="67">
        <f>IF($B45="","",SUMIFS($K$4:$K44,$B$4:$B44,$B45))</f>
        <v/>
      </c>
      <c r="M45" s="65">
        <f>IF($B45="","",SUMIFS($O$4:$O44,$B$4:$B44,$B45))</f>
        <v/>
      </c>
      <c r="N45" s="65">
        <f>IF($B45="","",IFERROR($M45/$L45,0))</f>
        <v/>
      </c>
      <c r="O45" s="65">
        <f>IF($B45="","",IF($C45="BUY",$J45,-$D45*$N45))</f>
        <v/>
      </c>
      <c r="P45" s="65">
        <f>IF($B45="","",IF($C45="SELL",$J45-$D45*$N45,0))</f>
        <v/>
      </c>
      <c r="Q45" s="69" t="n"/>
    </row>
    <row r="46">
      <c r="A46" s="36" t="n"/>
      <c r="B46" s="36" t="n"/>
      <c r="C46" s="36" t="n"/>
      <c r="D46" s="56" t="n"/>
      <c r="E46" s="57" t="n"/>
      <c r="F46" s="58" t="n"/>
      <c r="G46" s="42">
        <f>IF($B46="","",IFERROR($E46/$F46,0))</f>
        <v/>
      </c>
      <c r="H46" s="42">
        <f>IF($B46="","",$D46*$G46)</f>
        <v/>
      </c>
      <c r="I46" s="59" t="n"/>
      <c r="J46" s="42">
        <f>IF($B46="","",IF($C46="BUY",$H46+$I46,$H46-$I46))</f>
        <v/>
      </c>
      <c r="K46" s="60">
        <f>IF($B46="","",IF($C46="BUY",$D46,-$D46))</f>
        <v/>
      </c>
      <c r="L46" s="60">
        <f>IF($B46="","",SUMIFS($K$4:$K45,$B$4:$B45,$B46))</f>
        <v/>
      </c>
      <c r="M46" s="42">
        <f>IF($B46="","",SUMIFS($O$4:$O45,$B$4:$B45,$B46))</f>
        <v/>
      </c>
      <c r="N46" s="42">
        <f>IF($B46="","",IFERROR($M46/$L46,0))</f>
        <v/>
      </c>
      <c r="O46" s="42">
        <f>IF($B46="","",IF($C46="BUY",$J46,-$D46*$N46))</f>
        <v/>
      </c>
      <c r="P46" s="42">
        <f>IF($B46="","",IF($C46="SELL",$J46-$D46*$N46,0))</f>
        <v/>
      </c>
      <c r="Q46" s="27" t="n"/>
    </row>
    <row r="47">
      <c r="A47" s="61" t="n"/>
      <c r="B47" s="61" t="n"/>
      <c r="C47" s="61" t="n"/>
      <c r="D47" s="62" t="n"/>
      <c r="E47" s="63" t="n"/>
      <c r="F47" s="64" t="n"/>
      <c r="G47" s="65">
        <f>IF($B47="","",IFERROR($E47/$F47,0))</f>
        <v/>
      </c>
      <c r="H47" s="65">
        <f>IF($B47="","",$D47*$G47)</f>
        <v/>
      </c>
      <c r="I47" s="66" t="n"/>
      <c r="J47" s="65">
        <f>IF($B47="","",IF($C47="BUY",$H47+$I47,$H47-$I47))</f>
        <v/>
      </c>
      <c r="K47" s="67">
        <f>IF($B47="","",IF($C47="BUY",$D47,-$D47))</f>
        <v/>
      </c>
      <c r="L47" s="67">
        <f>IF($B47="","",SUMIFS($K$4:$K46,$B$4:$B46,$B47))</f>
        <v/>
      </c>
      <c r="M47" s="65">
        <f>IF($B47="","",SUMIFS($O$4:$O46,$B$4:$B46,$B47))</f>
        <v/>
      </c>
      <c r="N47" s="65">
        <f>IF($B47="","",IFERROR($M47/$L47,0))</f>
        <v/>
      </c>
      <c r="O47" s="65">
        <f>IF($B47="","",IF($C47="BUY",$J47,-$D47*$N47))</f>
        <v/>
      </c>
      <c r="P47" s="65">
        <f>IF($B47="","",IF($C47="SELL",$J47-$D47*$N47,0))</f>
        <v/>
      </c>
      <c r="Q47" s="69" t="n"/>
    </row>
    <row r="48">
      <c r="A48" s="36" t="n"/>
      <c r="B48" s="36" t="n"/>
      <c r="C48" s="36" t="n"/>
      <c r="D48" s="56" t="n"/>
      <c r="E48" s="57" t="n"/>
      <c r="F48" s="58" t="n"/>
      <c r="G48" s="42">
        <f>IF($B48="","",IFERROR($E48/$F48,0))</f>
        <v/>
      </c>
      <c r="H48" s="42">
        <f>IF($B48="","",$D48*$G48)</f>
        <v/>
      </c>
      <c r="I48" s="59" t="n"/>
      <c r="J48" s="42">
        <f>IF($B48="","",IF($C48="BUY",$H48+$I48,$H48-$I48))</f>
        <v/>
      </c>
      <c r="K48" s="60">
        <f>IF($B48="","",IF($C48="BUY",$D48,-$D48))</f>
        <v/>
      </c>
      <c r="L48" s="60">
        <f>IF($B48="","",SUMIFS($K$4:$K47,$B$4:$B47,$B48))</f>
        <v/>
      </c>
      <c r="M48" s="42">
        <f>IF($B48="","",SUMIFS($O$4:$O47,$B$4:$B47,$B48))</f>
        <v/>
      </c>
      <c r="N48" s="42">
        <f>IF($B48="","",IFERROR($M48/$L48,0))</f>
        <v/>
      </c>
      <c r="O48" s="42">
        <f>IF($B48="","",IF($C48="BUY",$J48,-$D48*$N48))</f>
        <v/>
      </c>
      <c r="P48" s="42">
        <f>IF($B48="","",IF($C48="SELL",$J48-$D48*$N48,0))</f>
        <v/>
      </c>
      <c r="Q48" s="27" t="n"/>
    </row>
    <row r="49">
      <c r="A49" s="61" t="n"/>
      <c r="B49" s="61" t="n"/>
      <c r="C49" s="61" t="n"/>
      <c r="D49" s="62" t="n"/>
      <c r="E49" s="63" t="n"/>
      <c r="F49" s="64" t="n"/>
      <c r="G49" s="65">
        <f>IF($B49="","",IFERROR($E49/$F49,0))</f>
        <v/>
      </c>
      <c r="H49" s="65">
        <f>IF($B49="","",$D49*$G49)</f>
        <v/>
      </c>
      <c r="I49" s="66" t="n"/>
      <c r="J49" s="65">
        <f>IF($B49="","",IF($C49="BUY",$H49+$I49,$H49-$I49))</f>
        <v/>
      </c>
      <c r="K49" s="67">
        <f>IF($B49="","",IF($C49="BUY",$D49,-$D49))</f>
        <v/>
      </c>
      <c r="L49" s="67">
        <f>IF($B49="","",SUMIFS($K$4:$K48,$B$4:$B48,$B49))</f>
        <v/>
      </c>
      <c r="M49" s="65">
        <f>IF($B49="","",SUMIFS($O$4:$O48,$B$4:$B48,$B49))</f>
        <v/>
      </c>
      <c r="N49" s="65">
        <f>IF($B49="","",IFERROR($M49/$L49,0))</f>
        <v/>
      </c>
      <c r="O49" s="65">
        <f>IF($B49="","",IF($C49="BUY",$J49,-$D49*$N49))</f>
        <v/>
      </c>
      <c r="P49" s="65">
        <f>IF($B49="","",IF($C49="SELL",$J49-$D49*$N49,0))</f>
        <v/>
      </c>
      <c r="Q49" s="69" t="n"/>
    </row>
    <row r="50">
      <c r="A50" s="36" t="n"/>
      <c r="B50" s="36" t="n"/>
      <c r="C50" s="36" t="n"/>
      <c r="D50" s="56" t="n"/>
      <c r="E50" s="57" t="n"/>
      <c r="F50" s="58" t="n"/>
      <c r="G50" s="42">
        <f>IF($B50="","",IFERROR($E50/$F50,0))</f>
        <v/>
      </c>
      <c r="H50" s="42">
        <f>IF($B50="","",$D50*$G50)</f>
        <v/>
      </c>
      <c r="I50" s="59" t="n"/>
      <c r="J50" s="42">
        <f>IF($B50="","",IF($C50="BUY",$H50+$I50,$H50-$I50))</f>
        <v/>
      </c>
      <c r="K50" s="60">
        <f>IF($B50="","",IF($C50="BUY",$D50,-$D50))</f>
        <v/>
      </c>
      <c r="L50" s="60">
        <f>IF($B50="","",SUMIFS($K$4:$K49,$B$4:$B49,$B50))</f>
        <v/>
      </c>
      <c r="M50" s="42">
        <f>IF($B50="","",SUMIFS($O$4:$O49,$B$4:$B49,$B50))</f>
        <v/>
      </c>
      <c r="N50" s="42">
        <f>IF($B50="","",IFERROR($M50/$L50,0))</f>
        <v/>
      </c>
      <c r="O50" s="42">
        <f>IF($B50="","",IF($C50="BUY",$J50,-$D50*$N50))</f>
        <v/>
      </c>
      <c r="P50" s="42">
        <f>IF($B50="","",IF($C50="SELL",$J50-$D50*$N50,0))</f>
        <v/>
      </c>
      <c r="Q50" s="27" t="n"/>
    </row>
    <row r="51">
      <c r="A51" s="61" t="n"/>
      <c r="B51" s="61" t="n"/>
      <c r="C51" s="61" t="n"/>
      <c r="D51" s="62" t="n"/>
      <c r="E51" s="63" t="n"/>
      <c r="F51" s="64" t="n"/>
      <c r="G51" s="65">
        <f>IF($B51="","",IFERROR($E51/$F51,0))</f>
        <v/>
      </c>
      <c r="H51" s="65">
        <f>IF($B51="","",$D51*$G51)</f>
        <v/>
      </c>
      <c r="I51" s="66" t="n"/>
      <c r="J51" s="65">
        <f>IF($B51="","",IF($C51="BUY",$H51+$I51,$H51-$I51))</f>
        <v/>
      </c>
      <c r="K51" s="67">
        <f>IF($B51="","",IF($C51="BUY",$D51,-$D51))</f>
        <v/>
      </c>
      <c r="L51" s="67">
        <f>IF($B51="","",SUMIFS($K$4:$K50,$B$4:$B50,$B51))</f>
        <v/>
      </c>
      <c r="M51" s="65">
        <f>IF($B51="","",SUMIFS($O$4:$O50,$B$4:$B50,$B51))</f>
        <v/>
      </c>
      <c r="N51" s="65">
        <f>IF($B51="","",IFERROR($M51/$L51,0))</f>
        <v/>
      </c>
      <c r="O51" s="65">
        <f>IF($B51="","",IF($C51="BUY",$J51,-$D51*$N51))</f>
        <v/>
      </c>
      <c r="P51" s="65">
        <f>IF($B51="","",IF($C51="SELL",$J51-$D51*$N51,0))</f>
        <v/>
      </c>
      <c r="Q51" s="69" t="n"/>
    </row>
    <row r="52">
      <c r="A52" s="36" t="n"/>
      <c r="B52" s="36" t="n"/>
      <c r="C52" s="36" t="n"/>
      <c r="D52" s="56" t="n"/>
      <c r="E52" s="57" t="n"/>
      <c r="F52" s="58" t="n"/>
      <c r="G52" s="42">
        <f>IF($B52="","",IFERROR($E52/$F52,0))</f>
        <v/>
      </c>
      <c r="H52" s="42">
        <f>IF($B52="","",$D52*$G52)</f>
        <v/>
      </c>
      <c r="I52" s="59" t="n"/>
      <c r="J52" s="42">
        <f>IF($B52="","",IF($C52="BUY",$H52+$I52,$H52-$I52))</f>
        <v/>
      </c>
      <c r="K52" s="60">
        <f>IF($B52="","",IF($C52="BUY",$D52,-$D52))</f>
        <v/>
      </c>
      <c r="L52" s="60">
        <f>IF($B52="","",SUMIFS($K$4:$K51,$B$4:$B51,$B52))</f>
        <v/>
      </c>
      <c r="M52" s="42">
        <f>IF($B52="","",SUMIFS($O$4:$O51,$B$4:$B51,$B52))</f>
        <v/>
      </c>
      <c r="N52" s="42">
        <f>IF($B52="","",IFERROR($M52/$L52,0))</f>
        <v/>
      </c>
      <c r="O52" s="42">
        <f>IF($B52="","",IF($C52="BUY",$J52,-$D52*$N52))</f>
        <v/>
      </c>
      <c r="P52" s="42">
        <f>IF($B52="","",IF($C52="SELL",$J52-$D52*$N52,0))</f>
        <v/>
      </c>
      <c r="Q52" s="27" t="n"/>
    </row>
    <row r="53">
      <c r="A53" s="61" t="n"/>
      <c r="B53" s="61" t="n"/>
      <c r="C53" s="61" t="n"/>
      <c r="D53" s="62" t="n"/>
      <c r="E53" s="63" t="n"/>
      <c r="F53" s="64" t="n"/>
      <c r="G53" s="65">
        <f>IF($B53="","",IFERROR($E53/$F53,0))</f>
        <v/>
      </c>
      <c r="H53" s="65">
        <f>IF($B53="","",$D53*$G53)</f>
        <v/>
      </c>
      <c r="I53" s="66" t="n"/>
      <c r="J53" s="65">
        <f>IF($B53="","",IF($C53="BUY",$H53+$I53,$H53-$I53))</f>
        <v/>
      </c>
      <c r="K53" s="67">
        <f>IF($B53="","",IF($C53="BUY",$D53,-$D53))</f>
        <v/>
      </c>
      <c r="L53" s="67">
        <f>IF($B53="","",SUMIFS($K$4:$K52,$B$4:$B52,$B53))</f>
        <v/>
      </c>
      <c r="M53" s="65">
        <f>IF($B53="","",SUMIFS($O$4:$O52,$B$4:$B52,$B53))</f>
        <v/>
      </c>
      <c r="N53" s="65">
        <f>IF($B53="","",IFERROR($M53/$L53,0))</f>
        <v/>
      </c>
      <c r="O53" s="65">
        <f>IF($B53="","",IF($C53="BUY",$J53,-$D53*$N53))</f>
        <v/>
      </c>
      <c r="P53" s="65">
        <f>IF($B53="","",IF($C53="SELL",$J53-$D53*$N53,0))</f>
        <v/>
      </c>
      <c r="Q53" s="69" t="n"/>
    </row>
    <row r="54">
      <c r="A54" s="36" t="n"/>
      <c r="B54" s="36" t="n"/>
      <c r="C54" s="36" t="n"/>
      <c r="D54" s="56" t="n"/>
      <c r="E54" s="57" t="n"/>
      <c r="F54" s="58" t="n"/>
      <c r="G54" s="42">
        <f>IF($B54="","",IFERROR($E54/$F54,0))</f>
        <v/>
      </c>
      <c r="H54" s="42">
        <f>IF($B54="","",$D54*$G54)</f>
        <v/>
      </c>
      <c r="I54" s="59" t="n"/>
      <c r="J54" s="42">
        <f>IF($B54="","",IF($C54="BUY",$H54+$I54,$H54-$I54))</f>
        <v/>
      </c>
      <c r="K54" s="60">
        <f>IF($B54="","",IF($C54="BUY",$D54,-$D54))</f>
        <v/>
      </c>
      <c r="L54" s="60">
        <f>IF($B54="","",SUMIFS($K$4:$K53,$B$4:$B53,$B54))</f>
        <v/>
      </c>
      <c r="M54" s="42">
        <f>IF($B54="","",SUMIFS($O$4:$O53,$B$4:$B53,$B54))</f>
        <v/>
      </c>
      <c r="N54" s="42">
        <f>IF($B54="","",IFERROR($M54/$L54,0))</f>
        <v/>
      </c>
      <c r="O54" s="42">
        <f>IF($B54="","",IF($C54="BUY",$J54,-$D54*$N54))</f>
        <v/>
      </c>
      <c r="P54" s="42">
        <f>IF($B54="","",IF($C54="SELL",$J54-$D54*$N54,0))</f>
        <v/>
      </c>
      <c r="Q54" s="27" t="n"/>
    </row>
    <row r="55">
      <c r="A55" s="61" t="n"/>
      <c r="B55" s="61" t="n"/>
      <c r="C55" s="61" t="n"/>
      <c r="D55" s="62" t="n"/>
      <c r="E55" s="63" t="n"/>
      <c r="F55" s="64" t="n"/>
      <c r="G55" s="65">
        <f>IF($B55="","",IFERROR($E55/$F55,0))</f>
        <v/>
      </c>
      <c r="H55" s="65">
        <f>IF($B55="","",$D55*$G55)</f>
        <v/>
      </c>
      <c r="I55" s="66" t="n"/>
      <c r="J55" s="65">
        <f>IF($B55="","",IF($C55="BUY",$H55+$I55,$H55-$I55))</f>
        <v/>
      </c>
      <c r="K55" s="67">
        <f>IF($B55="","",IF($C55="BUY",$D55,-$D55))</f>
        <v/>
      </c>
      <c r="L55" s="67">
        <f>IF($B55="","",SUMIFS($K$4:$K54,$B$4:$B54,$B55))</f>
        <v/>
      </c>
      <c r="M55" s="65">
        <f>IF($B55="","",SUMIFS($O$4:$O54,$B$4:$B54,$B55))</f>
        <v/>
      </c>
      <c r="N55" s="65">
        <f>IF($B55="","",IFERROR($M55/$L55,0))</f>
        <v/>
      </c>
      <c r="O55" s="65">
        <f>IF($B55="","",IF($C55="BUY",$J55,-$D55*$N55))</f>
        <v/>
      </c>
      <c r="P55" s="65">
        <f>IF($B55="","",IF($C55="SELL",$J55-$D55*$N55,0))</f>
        <v/>
      </c>
      <c r="Q55" s="69" t="n"/>
    </row>
    <row r="56">
      <c r="A56" s="36" t="n"/>
      <c r="B56" s="36" t="n"/>
      <c r="C56" s="36" t="n"/>
      <c r="D56" s="56" t="n"/>
      <c r="E56" s="57" t="n"/>
      <c r="F56" s="58" t="n"/>
      <c r="G56" s="42">
        <f>IF($B56="","",IFERROR($E56/$F56,0))</f>
        <v/>
      </c>
      <c r="H56" s="42">
        <f>IF($B56="","",$D56*$G56)</f>
        <v/>
      </c>
      <c r="I56" s="59" t="n"/>
      <c r="J56" s="42">
        <f>IF($B56="","",IF($C56="BUY",$H56+$I56,$H56-$I56))</f>
        <v/>
      </c>
      <c r="K56" s="60">
        <f>IF($B56="","",IF($C56="BUY",$D56,-$D56))</f>
        <v/>
      </c>
      <c r="L56" s="60">
        <f>IF($B56="","",SUMIFS($K$4:$K55,$B$4:$B55,$B56))</f>
        <v/>
      </c>
      <c r="M56" s="42">
        <f>IF($B56="","",SUMIFS($O$4:$O55,$B$4:$B55,$B56))</f>
        <v/>
      </c>
      <c r="N56" s="42">
        <f>IF($B56="","",IFERROR($M56/$L56,0))</f>
        <v/>
      </c>
      <c r="O56" s="42">
        <f>IF($B56="","",IF($C56="BUY",$J56,-$D56*$N56))</f>
        <v/>
      </c>
      <c r="P56" s="42">
        <f>IF($B56="","",IF($C56="SELL",$J56-$D56*$N56,0))</f>
        <v/>
      </c>
      <c r="Q56" s="27" t="n"/>
    </row>
    <row r="57">
      <c r="A57" s="61" t="n"/>
      <c r="B57" s="61" t="n"/>
      <c r="C57" s="61" t="n"/>
      <c r="D57" s="62" t="n"/>
      <c r="E57" s="63" t="n"/>
      <c r="F57" s="64" t="n"/>
      <c r="G57" s="65">
        <f>IF($B57="","",IFERROR($E57/$F57,0))</f>
        <v/>
      </c>
      <c r="H57" s="65">
        <f>IF($B57="","",$D57*$G57)</f>
        <v/>
      </c>
      <c r="I57" s="66" t="n"/>
      <c r="J57" s="65">
        <f>IF($B57="","",IF($C57="BUY",$H57+$I57,$H57-$I57))</f>
        <v/>
      </c>
      <c r="K57" s="67">
        <f>IF($B57="","",IF($C57="BUY",$D57,-$D57))</f>
        <v/>
      </c>
      <c r="L57" s="67">
        <f>IF($B57="","",SUMIFS($K$4:$K56,$B$4:$B56,$B57))</f>
        <v/>
      </c>
      <c r="M57" s="65">
        <f>IF($B57="","",SUMIFS($O$4:$O56,$B$4:$B56,$B57))</f>
        <v/>
      </c>
      <c r="N57" s="65">
        <f>IF($B57="","",IFERROR($M57/$L57,0))</f>
        <v/>
      </c>
      <c r="O57" s="65">
        <f>IF($B57="","",IF($C57="BUY",$J57,-$D57*$N57))</f>
        <v/>
      </c>
      <c r="P57" s="65">
        <f>IF($B57="","",IF($C57="SELL",$J57-$D57*$N57,0))</f>
        <v/>
      </c>
      <c r="Q57" s="69" t="n"/>
    </row>
    <row r="58">
      <c r="A58" s="36" t="n"/>
      <c r="B58" s="36" t="n"/>
      <c r="C58" s="36" t="n"/>
      <c r="D58" s="56" t="n"/>
      <c r="E58" s="57" t="n"/>
      <c r="F58" s="58" t="n"/>
      <c r="G58" s="42">
        <f>IF($B58="","",IFERROR($E58/$F58,0))</f>
        <v/>
      </c>
      <c r="H58" s="42">
        <f>IF($B58="","",$D58*$G58)</f>
        <v/>
      </c>
      <c r="I58" s="59" t="n"/>
      <c r="J58" s="42">
        <f>IF($B58="","",IF($C58="BUY",$H58+$I58,$H58-$I58))</f>
        <v/>
      </c>
      <c r="K58" s="60">
        <f>IF($B58="","",IF($C58="BUY",$D58,-$D58))</f>
        <v/>
      </c>
      <c r="L58" s="60">
        <f>IF($B58="","",SUMIFS($K$4:$K57,$B$4:$B57,$B58))</f>
        <v/>
      </c>
      <c r="M58" s="42">
        <f>IF($B58="","",SUMIFS($O$4:$O57,$B$4:$B57,$B58))</f>
        <v/>
      </c>
      <c r="N58" s="42">
        <f>IF($B58="","",IFERROR($M58/$L58,0))</f>
        <v/>
      </c>
      <c r="O58" s="42">
        <f>IF($B58="","",IF($C58="BUY",$J58,-$D58*$N58))</f>
        <v/>
      </c>
      <c r="P58" s="42">
        <f>IF($B58="","",IF($C58="SELL",$J58-$D58*$N58,0))</f>
        <v/>
      </c>
      <c r="Q58" s="27" t="n"/>
    </row>
    <row r="59">
      <c r="A59" s="61" t="n"/>
      <c r="B59" s="61" t="n"/>
      <c r="C59" s="61" t="n"/>
      <c r="D59" s="62" t="n"/>
      <c r="E59" s="63" t="n"/>
      <c r="F59" s="64" t="n"/>
      <c r="G59" s="65">
        <f>IF($B59="","",IFERROR($E59/$F59,0))</f>
        <v/>
      </c>
      <c r="H59" s="65">
        <f>IF($B59="","",$D59*$G59)</f>
        <v/>
      </c>
      <c r="I59" s="66" t="n"/>
      <c r="J59" s="65">
        <f>IF($B59="","",IF($C59="BUY",$H59+$I59,$H59-$I59))</f>
        <v/>
      </c>
      <c r="K59" s="67">
        <f>IF($B59="","",IF($C59="BUY",$D59,-$D59))</f>
        <v/>
      </c>
      <c r="L59" s="67">
        <f>IF($B59="","",SUMIFS($K$4:$K58,$B$4:$B58,$B59))</f>
        <v/>
      </c>
      <c r="M59" s="65">
        <f>IF($B59="","",SUMIFS($O$4:$O58,$B$4:$B58,$B59))</f>
        <v/>
      </c>
      <c r="N59" s="65">
        <f>IF($B59="","",IFERROR($M59/$L59,0))</f>
        <v/>
      </c>
      <c r="O59" s="65">
        <f>IF($B59="","",IF($C59="BUY",$J59,-$D59*$N59))</f>
        <v/>
      </c>
      <c r="P59" s="65">
        <f>IF($B59="","",IF($C59="SELL",$J59-$D59*$N59,0))</f>
        <v/>
      </c>
      <c r="Q59" s="69" t="n"/>
    </row>
    <row r="60">
      <c r="A60" s="36" t="n"/>
      <c r="B60" s="36" t="n"/>
      <c r="C60" s="36" t="n"/>
      <c r="D60" s="56" t="n"/>
      <c r="E60" s="57" t="n"/>
      <c r="F60" s="58" t="n"/>
      <c r="G60" s="42">
        <f>IF($B60="","",IFERROR($E60/$F60,0))</f>
        <v/>
      </c>
      <c r="H60" s="42">
        <f>IF($B60="","",$D60*$G60)</f>
        <v/>
      </c>
      <c r="I60" s="59" t="n"/>
      <c r="J60" s="42">
        <f>IF($B60="","",IF($C60="BUY",$H60+$I60,$H60-$I60))</f>
        <v/>
      </c>
      <c r="K60" s="60">
        <f>IF($B60="","",IF($C60="BUY",$D60,-$D60))</f>
        <v/>
      </c>
      <c r="L60" s="60">
        <f>IF($B60="","",SUMIFS($K$4:$K59,$B$4:$B59,$B60))</f>
        <v/>
      </c>
      <c r="M60" s="42">
        <f>IF($B60="","",SUMIFS($O$4:$O59,$B$4:$B59,$B60))</f>
        <v/>
      </c>
      <c r="N60" s="42">
        <f>IF($B60="","",IFERROR($M60/$L60,0))</f>
        <v/>
      </c>
      <c r="O60" s="42">
        <f>IF($B60="","",IF($C60="BUY",$J60,-$D60*$N60))</f>
        <v/>
      </c>
      <c r="P60" s="42">
        <f>IF($B60="","",IF($C60="SELL",$J60-$D60*$N60,0))</f>
        <v/>
      </c>
      <c r="Q60" s="27" t="n"/>
    </row>
    <row r="61">
      <c r="A61" s="61" t="n"/>
      <c r="B61" s="61" t="n"/>
      <c r="C61" s="61" t="n"/>
      <c r="D61" s="62" t="n"/>
      <c r="E61" s="63" t="n"/>
      <c r="F61" s="64" t="n"/>
      <c r="G61" s="65">
        <f>IF($B61="","",IFERROR($E61/$F61,0))</f>
        <v/>
      </c>
      <c r="H61" s="65">
        <f>IF($B61="","",$D61*$G61)</f>
        <v/>
      </c>
      <c r="I61" s="66" t="n"/>
      <c r="J61" s="65">
        <f>IF($B61="","",IF($C61="BUY",$H61+$I61,$H61-$I61))</f>
        <v/>
      </c>
      <c r="K61" s="67">
        <f>IF($B61="","",IF($C61="BUY",$D61,-$D61))</f>
        <v/>
      </c>
      <c r="L61" s="67">
        <f>IF($B61="","",SUMIFS($K$4:$K60,$B$4:$B60,$B61))</f>
        <v/>
      </c>
      <c r="M61" s="65">
        <f>IF($B61="","",SUMIFS($O$4:$O60,$B$4:$B60,$B61))</f>
        <v/>
      </c>
      <c r="N61" s="65">
        <f>IF($B61="","",IFERROR($M61/$L61,0))</f>
        <v/>
      </c>
      <c r="O61" s="65">
        <f>IF($B61="","",IF($C61="BUY",$J61,-$D61*$N61))</f>
        <v/>
      </c>
      <c r="P61" s="65">
        <f>IF($B61="","",IF($C61="SELL",$J61-$D61*$N61,0))</f>
        <v/>
      </c>
      <c r="Q61" s="69" t="n"/>
    </row>
    <row r="62">
      <c r="A62" s="36" t="n"/>
      <c r="B62" s="36" t="n"/>
      <c r="C62" s="36" t="n"/>
      <c r="D62" s="56" t="n"/>
      <c r="E62" s="57" t="n"/>
      <c r="F62" s="58" t="n"/>
      <c r="G62" s="42">
        <f>IF($B62="","",IFERROR($E62/$F62,0))</f>
        <v/>
      </c>
      <c r="H62" s="42">
        <f>IF($B62="","",$D62*$G62)</f>
        <v/>
      </c>
      <c r="I62" s="59" t="n"/>
      <c r="J62" s="42">
        <f>IF($B62="","",IF($C62="BUY",$H62+$I62,$H62-$I62))</f>
        <v/>
      </c>
      <c r="K62" s="60">
        <f>IF($B62="","",IF($C62="BUY",$D62,-$D62))</f>
        <v/>
      </c>
      <c r="L62" s="60">
        <f>IF($B62="","",SUMIFS($K$4:$K61,$B$4:$B61,$B62))</f>
        <v/>
      </c>
      <c r="M62" s="42">
        <f>IF($B62="","",SUMIFS($O$4:$O61,$B$4:$B61,$B62))</f>
        <v/>
      </c>
      <c r="N62" s="42">
        <f>IF($B62="","",IFERROR($M62/$L62,0))</f>
        <v/>
      </c>
      <c r="O62" s="42">
        <f>IF($B62="","",IF($C62="BUY",$J62,-$D62*$N62))</f>
        <v/>
      </c>
      <c r="P62" s="42">
        <f>IF($B62="","",IF($C62="SELL",$J62-$D62*$N62,0))</f>
        <v/>
      </c>
      <c r="Q62" s="27" t="n"/>
    </row>
    <row r="63">
      <c r="A63" s="61" t="n"/>
      <c r="B63" s="61" t="n"/>
      <c r="C63" s="61" t="n"/>
      <c r="D63" s="62" t="n"/>
      <c r="E63" s="63" t="n"/>
      <c r="F63" s="64" t="n"/>
      <c r="G63" s="65">
        <f>IF($B63="","",IFERROR($E63/$F63,0))</f>
        <v/>
      </c>
      <c r="H63" s="65">
        <f>IF($B63="","",$D63*$G63)</f>
        <v/>
      </c>
      <c r="I63" s="66" t="n"/>
      <c r="J63" s="65">
        <f>IF($B63="","",IF($C63="BUY",$H63+$I63,$H63-$I63))</f>
        <v/>
      </c>
      <c r="K63" s="67">
        <f>IF($B63="","",IF($C63="BUY",$D63,-$D63))</f>
        <v/>
      </c>
      <c r="L63" s="67">
        <f>IF($B63="","",SUMIFS($K$4:$K62,$B$4:$B62,$B63))</f>
        <v/>
      </c>
      <c r="M63" s="65">
        <f>IF($B63="","",SUMIFS($O$4:$O62,$B$4:$B62,$B63))</f>
        <v/>
      </c>
      <c r="N63" s="65">
        <f>IF($B63="","",IFERROR($M63/$L63,0))</f>
        <v/>
      </c>
      <c r="O63" s="65">
        <f>IF($B63="","",IF($C63="BUY",$J63,-$D63*$N63))</f>
        <v/>
      </c>
      <c r="P63" s="65">
        <f>IF($B63="","",IF($C63="SELL",$J63-$D63*$N63,0))</f>
        <v/>
      </c>
      <c r="Q63" s="69" t="n"/>
    </row>
    <row r="65">
      <c r="A65" s="5" t="inlineStr">
        <is>
          <t>Average-cost accounting: a SELL is booked against the average cost of the shares held before it, and the difference lands in Realised P/L.</t>
        </is>
      </c>
    </row>
    <row r="66">
      <c r="A66" s="5" t="inlineStr">
        <is>
          <t>For a GBP-quoted holding (LGEN, BA, SHEL) put the price in pounds in column E and set FX to 1.</t>
        </is>
      </c>
    </row>
    <row r="67">
      <c r="A67" s="5" t="inlineStr">
        <is>
          <t>Need more than 60 trades? Copy the last row down — every formula is relative.</t>
        </is>
      </c>
    </row>
  </sheetData>
  <mergeCells count="1">
    <mergeCell ref="A1:Q1"/>
  </mergeCells>
  <dataValidations count="1">
    <dataValidation sqref="C4:C63" showDropDown="0" showInputMessage="0" showErrorMessage="0" allowBlank="1" type="list">
      <formula1>"BUY,SELL"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BF8F00"/>
    <outlinePr summaryBelow="1" summaryRight="1"/>
    <pageSetUpPr/>
  </sheetPr>
  <dimension ref="A1:I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4" customWidth="1" min="4" max="4"/>
    <col width="11" customWidth="1" min="5" max="5"/>
    <col width="15" customWidth="1" min="6" max="6"/>
    <col width="17" customWidth="1" min="7" max="7"/>
    <col width="15" customWidth="1" min="8" max="8"/>
    <col width="34" customWidth="1" min="9" max="9"/>
  </cols>
  <sheetData>
    <row r="1" ht="22" customHeight="1">
      <c r="A1" s="1" t="inlineStr">
        <is>
          <t>DIVIDEND LOG  —  feeds the income block on each holding tab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5" t="inlineStr">
        <is>
          <t>Log each payment as it lands. Net GBP is what actually hit the account.</t>
        </is>
      </c>
    </row>
    <row r="3" ht="30" customHeight="1">
      <c r="A3" s="14" t="inlineStr">
        <is>
          <t>Date</t>
        </is>
      </c>
      <c r="B3" s="14" t="inlineStr">
        <is>
          <t>Ticker</t>
        </is>
      </c>
      <c r="C3" s="14" t="inlineStr">
        <is>
          <t>Shares at pay date</t>
        </is>
      </c>
      <c r="D3" s="14" t="inlineStr">
        <is>
          <t>Gross (native)</t>
        </is>
      </c>
      <c r="E3" s="14" t="inlineStr">
        <is>
          <t>FX (GBP/USD)</t>
        </is>
      </c>
      <c r="F3" s="14" t="inlineStr">
        <is>
          <t>Gross (GBP)</t>
        </is>
      </c>
      <c r="G3" s="14" t="inlineStr">
        <is>
          <t>Withholding tax (GBP)</t>
        </is>
      </c>
      <c r="H3" s="14" t="inlineStr">
        <is>
          <t>Net (GBP)</t>
        </is>
      </c>
      <c r="I3" s="14" t="inlineStr">
        <is>
          <t>Notes</t>
        </is>
      </c>
    </row>
    <row r="4">
      <c r="A4" s="28" t="n"/>
      <c r="B4" s="28" t="n"/>
      <c r="C4" s="56" t="n"/>
      <c r="D4" s="57" t="n"/>
      <c r="E4" s="58" t="n"/>
      <c r="F4" s="42">
        <f>IF($B4="","",IFERROR($D4/$E4,0))</f>
        <v/>
      </c>
      <c r="G4" s="59" t="n"/>
      <c r="H4" s="42">
        <f>IF($B4="","",$F4-$G4)</f>
        <v/>
      </c>
      <c r="I4" s="28" t="n"/>
    </row>
    <row r="5">
      <c r="A5" s="68" t="n"/>
      <c r="B5" s="68" t="n"/>
      <c r="C5" s="62" t="n"/>
      <c r="D5" s="63" t="n"/>
      <c r="E5" s="64" t="n"/>
      <c r="F5" s="65">
        <f>IF($B5="","",IFERROR($D5/$E5,0))</f>
        <v/>
      </c>
      <c r="G5" s="66" t="n"/>
      <c r="H5" s="65">
        <f>IF($B5="","",$F5-$G5)</f>
        <v/>
      </c>
      <c r="I5" s="68" t="n"/>
    </row>
    <row r="6">
      <c r="A6" s="28" t="n"/>
      <c r="B6" s="28" t="n"/>
      <c r="C6" s="56" t="n"/>
      <c r="D6" s="57" t="n"/>
      <c r="E6" s="58" t="n"/>
      <c r="F6" s="42">
        <f>IF($B6="","",IFERROR($D6/$E6,0))</f>
        <v/>
      </c>
      <c r="G6" s="59" t="n"/>
      <c r="H6" s="42">
        <f>IF($B6="","",$F6-$G6)</f>
        <v/>
      </c>
      <c r="I6" s="28" t="n"/>
    </row>
    <row r="7">
      <c r="A7" s="68" t="n"/>
      <c r="B7" s="68" t="n"/>
      <c r="C7" s="62" t="n"/>
      <c r="D7" s="63" t="n"/>
      <c r="E7" s="64" t="n"/>
      <c r="F7" s="65">
        <f>IF($B7="","",IFERROR($D7/$E7,0))</f>
        <v/>
      </c>
      <c r="G7" s="66" t="n"/>
      <c r="H7" s="65">
        <f>IF($B7="","",$F7-$G7)</f>
        <v/>
      </c>
      <c r="I7" s="68" t="n"/>
    </row>
    <row r="8">
      <c r="A8" s="28" t="n"/>
      <c r="B8" s="28" t="n"/>
      <c r="C8" s="56" t="n"/>
      <c r="D8" s="57" t="n"/>
      <c r="E8" s="58" t="n"/>
      <c r="F8" s="42">
        <f>IF($B8="","",IFERROR($D8/$E8,0))</f>
        <v/>
      </c>
      <c r="G8" s="59" t="n"/>
      <c r="H8" s="42">
        <f>IF($B8="","",$F8-$G8)</f>
        <v/>
      </c>
      <c r="I8" s="28" t="n"/>
    </row>
    <row r="9">
      <c r="A9" s="68" t="n"/>
      <c r="B9" s="68" t="n"/>
      <c r="C9" s="62" t="n"/>
      <c r="D9" s="63" t="n"/>
      <c r="E9" s="64" t="n"/>
      <c r="F9" s="65">
        <f>IF($B9="","",IFERROR($D9/$E9,0))</f>
        <v/>
      </c>
      <c r="G9" s="66" t="n"/>
      <c r="H9" s="65">
        <f>IF($B9="","",$F9-$G9)</f>
        <v/>
      </c>
      <c r="I9" s="68" t="n"/>
    </row>
    <row r="10">
      <c r="A10" s="28" t="n"/>
      <c r="B10" s="28" t="n"/>
      <c r="C10" s="56" t="n"/>
      <c r="D10" s="57" t="n"/>
      <c r="E10" s="58" t="n"/>
      <c r="F10" s="42">
        <f>IF($B10="","",IFERROR($D10/$E10,0))</f>
        <v/>
      </c>
      <c r="G10" s="59" t="n"/>
      <c r="H10" s="42">
        <f>IF($B10="","",$F10-$G10)</f>
        <v/>
      </c>
      <c r="I10" s="28" t="n"/>
    </row>
    <row r="11">
      <c r="A11" s="68" t="n"/>
      <c r="B11" s="68" t="n"/>
      <c r="C11" s="62" t="n"/>
      <c r="D11" s="63" t="n"/>
      <c r="E11" s="64" t="n"/>
      <c r="F11" s="65">
        <f>IF($B11="","",IFERROR($D11/$E11,0))</f>
        <v/>
      </c>
      <c r="G11" s="66" t="n"/>
      <c r="H11" s="65">
        <f>IF($B11="","",$F11-$G11)</f>
        <v/>
      </c>
      <c r="I11" s="68" t="n"/>
    </row>
    <row r="12">
      <c r="A12" s="28" t="n"/>
      <c r="B12" s="28" t="n"/>
      <c r="C12" s="56" t="n"/>
      <c r="D12" s="57" t="n"/>
      <c r="E12" s="58" t="n"/>
      <c r="F12" s="42">
        <f>IF($B12="","",IFERROR($D12/$E12,0))</f>
        <v/>
      </c>
      <c r="G12" s="59" t="n"/>
      <c r="H12" s="42">
        <f>IF($B12="","",$F12-$G12)</f>
        <v/>
      </c>
      <c r="I12" s="28" t="n"/>
    </row>
    <row r="13">
      <c r="A13" s="68" t="n"/>
      <c r="B13" s="68" t="n"/>
      <c r="C13" s="62" t="n"/>
      <c r="D13" s="63" t="n"/>
      <c r="E13" s="64" t="n"/>
      <c r="F13" s="65">
        <f>IF($B13="","",IFERROR($D13/$E13,0))</f>
        <v/>
      </c>
      <c r="G13" s="66" t="n"/>
      <c r="H13" s="65">
        <f>IF($B13="","",$F13-$G13)</f>
        <v/>
      </c>
      <c r="I13" s="68" t="n"/>
    </row>
    <row r="14">
      <c r="A14" s="28" t="n"/>
      <c r="B14" s="28" t="n"/>
      <c r="C14" s="56" t="n"/>
      <c r="D14" s="57" t="n"/>
      <c r="E14" s="58" t="n"/>
      <c r="F14" s="42">
        <f>IF($B14="","",IFERROR($D14/$E14,0))</f>
        <v/>
      </c>
      <c r="G14" s="59" t="n"/>
      <c r="H14" s="42">
        <f>IF($B14="","",$F14-$G14)</f>
        <v/>
      </c>
      <c r="I14" s="28" t="n"/>
    </row>
    <row r="15">
      <c r="A15" s="68" t="n"/>
      <c r="B15" s="68" t="n"/>
      <c r="C15" s="62" t="n"/>
      <c r="D15" s="63" t="n"/>
      <c r="E15" s="64" t="n"/>
      <c r="F15" s="65">
        <f>IF($B15="","",IFERROR($D15/$E15,0))</f>
        <v/>
      </c>
      <c r="G15" s="66" t="n"/>
      <c r="H15" s="65">
        <f>IF($B15="","",$F15-$G15)</f>
        <v/>
      </c>
      <c r="I15" s="68" t="n"/>
    </row>
    <row r="16">
      <c r="A16" s="28" t="n"/>
      <c r="B16" s="28" t="n"/>
      <c r="C16" s="56" t="n"/>
      <c r="D16" s="57" t="n"/>
      <c r="E16" s="58" t="n"/>
      <c r="F16" s="42">
        <f>IF($B16="","",IFERROR($D16/$E16,0))</f>
        <v/>
      </c>
      <c r="G16" s="59" t="n"/>
      <c r="H16" s="42">
        <f>IF($B16="","",$F16-$G16)</f>
        <v/>
      </c>
      <c r="I16" s="28" t="n"/>
    </row>
    <row r="17">
      <c r="A17" s="68" t="n"/>
      <c r="B17" s="68" t="n"/>
      <c r="C17" s="62" t="n"/>
      <c r="D17" s="63" t="n"/>
      <c r="E17" s="64" t="n"/>
      <c r="F17" s="65">
        <f>IF($B17="","",IFERROR($D17/$E17,0))</f>
        <v/>
      </c>
      <c r="G17" s="66" t="n"/>
      <c r="H17" s="65">
        <f>IF($B17="","",$F17-$G17)</f>
        <v/>
      </c>
      <c r="I17" s="68" t="n"/>
    </row>
    <row r="18">
      <c r="A18" s="28" t="n"/>
      <c r="B18" s="28" t="n"/>
      <c r="C18" s="56" t="n"/>
      <c r="D18" s="57" t="n"/>
      <c r="E18" s="58" t="n"/>
      <c r="F18" s="42">
        <f>IF($B18="","",IFERROR($D18/$E18,0))</f>
        <v/>
      </c>
      <c r="G18" s="59" t="n"/>
      <c r="H18" s="42">
        <f>IF($B18="","",$F18-$G18)</f>
        <v/>
      </c>
      <c r="I18" s="28" t="n"/>
    </row>
    <row r="19">
      <c r="A19" s="68" t="n"/>
      <c r="B19" s="68" t="n"/>
      <c r="C19" s="62" t="n"/>
      <c r="D19" s="63" t="n"/>
      <c r="E19" s="64" t="n"/>
      <c r="F19" s="65">
        <f>IF($B19="","",IFERROR($D19/$E19,0))</f>
        <v/>
      </c>
      <c r="G19" s="66" t="n"/>
      <c r="H19" s="65">
        <f>IF($B19="","",$F19-$G19)</f>
        <v/>
      </c>
      <c r="I19" s="68" t="n"/>
    </row>
    <row r="20">
      <c r="A20" s="28" t="n"/>
      <c r="B20" s="28" t="n"/>
      <c r="C20" s="56" t="n"/>
      <c r="D20" s="57" t="n"/>
      <c r="E20" s="58" t="n"/>
      <c r="F20" s="42">
        <f>IF($B20="","",IFERROR($D20/$E20,0))</f>
        <v/>
      </c>
      <c r="G20" s="59" t="n"/>
      <c r="H20" s="42">
        <f>IF($B20="","",$F20-$G20)</f>
        <v/>
      </c>
      <c r="I20" s="28" t="n"/>
    </row>
    <row r="21">
      <c r="A21" s="68" t="n"/>
      <c r="B21" s="68" t="n"/>
      <c r="C21" s="62" t="n"/>
      <c r="D21" s="63" t="n"/>
      <c r="E21" s="64" t="n"/>
      <c r="F21" s="65">
        <f>IF($B21="","",IFERROR($D21/$E21,0))</f>
        <v/>
      </c>
      <c r="G21" s="66" t="n"/>
      <c r="H21" s="65">
        <f>IF($B21="","",$F21-$G21)</f>
        <v/>
      </c>
      <c r="I21" s="68" t="n"/>
    </row>
    <row r="22">
      <c r="A22" s="28" t="n"/>
      <c r="B22" s="28" t="n"/>
      <c r="C22" s="56" t="n"/>
      <c r="D22" s="57" t="n"/>
      <c r="E22" s="58" t="n"/>
      <c r="F22" s="42">
        <f>IF($B22="","",IFERROR($D22/$E22,0))</f>
        <v/>
      </c>
      <c r="G22" s="59" t="n"/>
      <c r="H22" s="42">
        <f>IF($B22="","",$F22-$G22)</f>
        <v/>
      </c>
      <c r="I22" s="28" t="n"/>
    </row>
    <row r="23">
      <c r="A23" s="68" t="n"/>
      <c r="B23" s="68" t="n"/>
      <c r="C23" s="62" t="n"/>
      <c r="D23" s="63" t="n"/>
      <c r="E23" s="64" t="n"/>
      <c r="F23" s="65">
        <f>IF($B23="","",IFERROR($D23/$E23,0))</f>
        <v/>
      </c>
      <c r="G23" s="66" t="n"/>
      <c r="H23" s="65">
        <f>IF($B23="","",$F23-$G23)</f>
        <v/>
      </c>
      <c r="I23" s="68" t="n"/>
    </row>
    <row r="24">
      <c r="A24" s="28" t="n"/>
      <c r="B24" s="28" t="n"/>
      <c r="C24" s="56" t="n"/>
      <c r="D24" s="57" t="n"/>
      <c r="E24" s="58" t="n"/>
      <c r="F24" s="42">
        <f>IF($B24="","",IFERROR($D24/$E24,0))</f>
        <v/>
      </c>
      <c r="G24" s="59" t="n"/>
      <c r="H24" s="42">
        <f>IF($B24="","",$F24-$G24)</f>
        <v/>
      </c>
      <c r="I24" s="28" t="n"/>
    </row>
    <row r="25">
      <c r="A25" s="68" t="n"/>
      <c r="B25" s="68" t="n"/>
      <c r="C25" s="62" t="n"/>
      <c r="D25" s="63" t="n"/>
      <c r="E25" s="64" t="n"/>
      <c r="F25" s="65">
        <f>IF($B25="","",IFERROR($D25/$E25,0))</f>
        <v/>
      </c>
      <c r="G25" s="66" t="n"/>
      <c r="H25" s="65">
        <f>IF($B25="","",$F25-$G25)</f>
        <v/>
      </c>
      <c r="I25" s="68" t="n"/>
    </row>
    <row r="26">
      <c r="A26" s="28" t="n"/>
      <c r="B26" s="28" t="n"/>
      <c r="C26" s="56" t="n"/>
      <c r="D26" s="57" t="n"/>
      <c r="E26" s="58" t="n"/>
      <c r="F26" s="42">
        <f>IF($B26="","",IFERROR($D26/$E26,0))</f>
        <v/>
      </c>
      <c r="G26" s="59" t="n"/>
      <c r="H26" s="42">
        <f>IF($B26="","",$F26-$G26)</f>
        <v/>
      </c>
      <c r="I26" s="28" t="n"/>
    </row>
    <row r="27">
      <c r="A27" s="68" t="n"/>
      <c r="B27" s="68" t="n"/>
      <c r="C27" s="62" t="n"/>
      <c r="D27" s="63" t="n"/>
      <c r="E27" s="64" t="n"/>
      <c r="F27" s="65">
        <f>IF($B27="","",IFERROR($D27/$E27,0))</f>
        <v/>
      </c>
      <c r="G27" s="66" t="n"/>
      <c r="H27" s="65">
        <f>IF($B27="","",$F27-$G27)</f>
        <v/>
      </c>
      <c r="I27" s="68" t="n"/>
    </row>
    <row r="28">
      <c r="A28" s="28" t="n"/>
      <c r="B28" s="28" t="n"/>
      <c r="C28" s="56" t="n"/>
      <c r="D28" s="57" t="n"/>
      <c r="E28" s="58" t="n"/>
      <c r="F28" s="42">
        <f>IF($B28="","",IFERROR($D28/$E28,0))</f>
        <v/>
      </c>
      <c r="G28" s="59" t="n"/>
      <c r="H28" s="42">
        <f>IF($B28="","",$F28-$G28)</f>
        <v/>
      </c>
      <c r="I28" s="28" t="n"/>
    </row>
    <row r="29">
      <c r="A29" s="68" t="n"/>
      <c r="B29" s="68" t="n"/>
      <c r="C29" s="62" t="n"/>
      <c r="D29" s="63" t="n"/>
      <c r="E29" s="64" t="n"/>
      <c r="F29" s="65">
        <f>IF($B29="","",IFERROR($D29/$E29,0))</f>
        <v/>
      </c>
      <c r="G29" s="66" t="n"/>
      <c r="H29" s="65">
        <f>IF($B29="","",$F29-$G29)</f>
        <v/>
      </c>
      <c r="I29" s="68" t="n"/>
    </row>
    <row r="30">
      <c r="A30" s="28" t="n"/>
      <c r="B30" s="28" t="n"/>
      <c r="C30" s="56" t="n"/>
      <c r="D30" s="57" t="n"/>
      <c r="E30" s="58" t="n"/>
      <c r="F30" s="42">
        <f>IF($B30="","",IFERROR($D30/$E30,0))</f>
        <v/>
      </c>
      <c r="G30" s="59" t="n"/>
      <c r="H30" s="42">
        <f>IF($B30="","",$F30-$G30)</f>
        <v/>
      </c>
      <c r="I30" s="28" t="n"/>
    </row>
    <row r="31">
      <c r="A31" s="68" t="n"/>
      <c r="B31" s="68" t="n"/>
      <c r="C31" s="62" t="n"/>
      <c r="D31" s="63" t="n"/>
      <c r="E31" s="64" t="n"/>
      <c r="F31" s="65">
        <f>IF($B31="","",IFERROR($D31/$E31,0))</f>
        <v/>
      </c>
      <c r="G31" s="66" t="n"/>
      <c r="H31" s="65">
        <f>IF($B31="","",$F31-$G31)</f>
        <v/>
      </c>
      <c r="I31" s="68" t="n"/>
    </row>
    <row r="32">
      <c r="A32" s="28" t="n"/>
      <c r="B32" s="28" t="n"/>
      <c r="C32" s="56" t="n"/>
      <c r="D32" s="57" t="n"/>
      <c r="E32" s="58" t="n"/>
      <c r="F32" s="42">
        <f>IF($B32="","",IFERROR($D32/$E32,0))</f>
        <v/>
      </c>
      <c r="G32" s="59" t="n"/>
      <c r="H32" s="42">
        <f>IF($B32="","",$F32-$G32)</f>
        <v/>
      </c>
      <c r="I32" s="28" t="n"/>
    </row>
    <row r="33">
      <c r="A33" s="68" t="n"/>
      <c r="B33" s="68" t="n"/>
      <c r="C33" s="62" t="n"/>
      <c r="D33" s="63" t="n"/>
      <c r="E33" s="64" t="n"/>
      <c r="F33" s="65">
        <f>IF($B33="","",IFERROR($D33/$E33,0))</f>
        <v/>
      </c>
      <c r="G33" s="66" t="n"/>
      <c r="H33" s="65">
        <f>IF($B33="","",$F33-$G33)</f>
        <v/>
      </c>
      <c r="I33" s="68" t="n"/>
    </row>
    <row r="34">
      <c r="A34" s="28" t="n"/>
      <c r="B34" s="28" t="n"/>
      <c r="C34" s="56" t="n"/>
      <c r="D34" s="57" t="n"/>
      <c r="E34" s="58" t="n"/>
      <c r="F34" s="42">
        <f>IF($B34="","",IFERROR($D34/$E34,0))</f>
        <v/>
      </c>
      <c r="G34" s="59" t="n"/>
      <c r="H34" s="42">
        <f>IF($B34="","",$F34-$G34)</f>
        <v/>
      </c>
      <c r="I34" s="28" t="n"/>
    </row>
    <row r="35">
      <c r="A35" s="68" t="n"/>
      <c r="B35" s="68" t="n"/>
      <c r="C35" s="62" t="n"/>
      <c r="D35" s="63" t="n"/>
      <c r="E35" s="64" t="n"/>
      <c r="F35" s="65">
        <f>IF($B35="","",IFERROR($D35/$E35,0))</f>
        <v/>
      </c>
      <c r="G35" s="66" t="n"/>
      <c r="H35" s="65">
        <f>IF($B35="","",$F35-$G35)</f>
        <v/>
      </c>
      <c r="I35" s="68" t="n"/>
    </row>
    <row r="36">
      <c r="A36" s="28" t="n"/>
      <c r="B36" s="28" t="n"/>
      <c r="C36" s="56" t="n"/>
      <c r="D36" s="57" t="n"/>
      <c r="E36" s="58" t="n"/>
      <c r="F36" s="42">
        <f>IF($B36="","",IFERROR($D36/$E36,0))</f>
        <v/>
      </c>
      <c r="G36" s="59" t="n"/>
      <c r="H36" s="42">
        <f>IF($B36="","",$F36-$G36)</f>
        <v/>
      </c>
      <c r="I36" s="28" t="n"/>
    </row>
    <row r="37">
      <c r="A37" s="68" t="n"/>
      <c r="B37" s="68" t="n"/>
      <c r="C37" s="62" t="n"/>
      <c r="D37" s="63" t="n"/>
      <c r="E37" s="64" t="n"/>
      <c r="F37" s="65">
        <f>IF($B37="","",IFERROR($D37/$E37,0))</f>
        <v/>
      </c>
      <c r="G37" s="66" t="n"/>
      <c r="H37" s="65">
        <f>IF($B37="","",$F37-$G37)</f>
        <v/>
      </c>
      <c r="I37" s="68" t="n"/>
    </row>
    <row r="38">
      <c r="A38" s="28" t="n"/>
      <c r="B38" s="28" t="n"/>
      <c r="C38" s="56" t="n"/>
      <c r="D38" s="57" t="n"/>
      <c r="E38" s="58" t="n"/>
      <c r="F38" s="42">
        <f>IF($B38="","",IFERROR($D38/$E38,0))</f>
        <v/>
      </c>
      <c r="G38" s="59" t="n"/>
      <c r="H38" s="42">
        <f>IF($B38="","",$F38-$G38)</f>
        <v/>
      </c>
      <c r="I38" s="28" t="n"/>
    </row>
    <row r="39">
      <c r="A39" s="68" t="n"/>
      <c r="B39" s="68" t="n"/>
      <c r="C39" s="62" t="n"/>
      <c r="D39" s="63" t="n"/>
      <c r="E39" s="64" t="n"/>
      <c r="F39" s="65">
        <f>IF($B39="","",IFERROR($D39/$E39,0))</f>
        <v/>
      </c>
      <c r="G39" s="66" t="n"/>
      <c r="H39" s="65">
        <f>IF($B39="","",$F39-$G39)</f>
        <v/>
      </c>
      <c r="I39" s="68" t="n"/>
    </row>
    <row r="40">
      <c r="A40" s="28" t="n"/>
      <c r="B40" s="28" t="n"/>
      <c r="C40" s="56" t="n"/>
      <c r="D40" s="57" t="n"/>
      <c r="E40" s="58" t="n"/>
      <c r="F40" s="42">
        <f>IF($B40="","",IFERROR($D40/$E40,0))</f>
        <v/>
      </c>
      <c r="G40" s="59" t="n"/>
      <c r="H40" s="42">
        <f>IF($B40="","",$F40-$G40)</f>
        <v/>
      </c>
      <c r="I40" s="28" t="n"/>
    </row>
    <row r="41">
      <c r="A41" s="68" t="n"/>
      <c r="B41" s="68" t="n"/>
      <c r="C41" s="62" t="n"/>
      <c r="D41" s="63" t="n"/>
      <c r="E41" s="64" t="n"/>
      <c r="F41" s="65">
        <f>IF($B41="","",IFERROR($D41/$E41,0))</f>
        <v/>
      </c>
      <c r="G41" s="66" t="n"/>
      <c r="H41" s="65">
        <f>IF($B41="","",$F41-$G41)</f>
        <v/>
      </c>
      <c r="I41" s="68" t="n"/>
    </row>
    <row r="42">
      <c r="A42" s="28" t="n"/>
      <c r="B42" s="28" t="n"/>
      <c r="C42" s="56" t="n"/>
      <c r="D42" s="57" t="n"/>
      <c r="E42" s="58" t="n"/>
      <c r="F42" s="42">
        <f>IF($B42="","",IFERROR($D42/$E42,0))</f>
        <v/>
      </c>
      <c r="G42" s="59" t="n"/>
      <c r="H42" s="42">
        <f>IF($B42="","",$F42-$G42)</f>
        <v/>
      </c>
      <c r="I42" s="28" t="n"/>
    </row>
    <row r="43">
      <c r="A43" s="68" t="n"/>
      <c r="B43" s="68" t="n"/>
      <c r="C43" s="62" t="n"/>
      <c r="D43" s="63" t="n"/>
      <c r="E43" s="64" t="n"/>
      <c r="F43" s="65">
        <f>IF($B43="","",IFERROR($D43/$E43,0))</f>
        <v/>
      </c>
      <c r="G43" s="66" t="n"/>
      <c r="H43" s="65">
        <f>IF($B43="","",$F43-$G43)</f>
        <v/>
      </c>
      <c r="I43" s="68" t="n"/>
    </row>
    <row r="45">
      <c r="A45" s="5" t="inlineStr">
        <is>
          <t>US dividends in a UK ISA are normally taxed at 15% at source with a W-8BEN on file. Put that amount in column G.</t>
        </is>
      </c>
    </row>
    <row r="46">
      <c r="A46" s="5" t="inlineStr">
        <is>
          <t>Of AMZN, MSFT and UBER, only MSFT currently pays a dividend.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62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DEFAULT SELL RULES  —  every holding tab inherits these</t>
        </is>
      </c>
      <c r="B1" s="2" t="n"/>
      <c r="C1" s="2" t="n"/>
      <c r="D1" s="2" t="n"/>
      <c r="E1" s="2" t="n"/>
      <c r="F1" s="2" t="n"/>
    </row>
    <row r="3" ht="18" customHeight="1">
      <c r="A3" s="6" t="inlineStr">
        <is>
          <t>TRIGGER LEVELS</t>
        </is>
      </c>
      <c r="B3" s="7" t="n"/>
      <c r="C3" s="7" t="n"/>
      <c r="D3" s="7" t="n"/>
      <c r="E3" s="7" t="n"/>
      <c r="F3" s="7" t="n"/>
    </row>
    <row r="4">
      <c r="A4" s="70" t="inlineStr">
        <is>
          <t>Rule</t>
        </is>
      </c>
      <c r="B4" s="70" t="inlineStr">
        <is>
          <t>Level</t>
        </is>
      </c>
      <c r="C4" s="70" t="inlineStr">
        <is>
          <t>What it means</t>
        </is>
      </c>
    </row>
    <row r="5">
      <c r="A5" s="27" t="inlineStr">
        <is>
          <t>Take-profit target (% above avg cost)</t>
        </is>
      </c>
      <c r="B5" s="71" t="n">
        <v>0.5</v>
      </c>
      <c r="C5" s="27" t="inlineStr">
        <is>
          <t>Full exit candidate. Price &gt;= avg cost x 1.50.</t>
        </is>
      </c>
    </row>
    <row r="6">
      <c r="A6" s="27" t="inlineStr">
        <is>
          <t>Trim level 1 (% above avg cost)</t>
        </is>
      </c>
      <c r="B6" s="71" t="n">
        <v>0.25</v>
      </c>
      <c r="C6" s="27" t="inlineStr">
        <is>
          <t>First trim. Take some off the table, let the rest run.</t>
        </is>
      </c>
    </row>
    <row r="7">
      <c r="A7" s="27" t="inlineStr">
        <is>
          <t>Trim level 2 (% above avg cost)</t>
        </is>
      </c>
      <c r="B7" s="71" t="n">
        <v>0.4</v>
      </c>
      <c r="C7" s="27" t="inlineStr">
        <is>
          <t>Second trim, closer to the full target.</t>
        </is>
      </c>
    </row>
    <row r="8">
      <c r="A8" s="27" t="inlineStr">
        <is>
          <t>Stop loss (% below avg cost)</t>
        </is>
      </c>
      <c r="B8" s="71" t="n">
        <v>0.2</v>
      </c>
      <c r="C8" s="27" t="inlineStr">
        <is>
          <t>Hard exit. Price &lt;= avg cost x 0.80.</t>
        </is>
      </c>
    </row>
    <row r="9">
      <c r="A9" s="27" t="inlineStr">
        <is>
          <t>Trailing stop (% below 52-week high)</t>
        </is>
      </c>
      <c r="B9" s="71" t="n">
        <v>0.25</v>
      </c>
      <c r="C9" s="27" t="inlineStr">
        <is>
          <t>Protects a run-up. Price &lt;= 52w high x 0.75.</t>
        </is>
      </c>
    </row>
    <row r="11">
      <c r="A11" s="5" t="inlineStr">
        <is>
          <t>These are placeholders, not advice — set them to your own discipline.</t>
        </is>
      </c>
    </row>
    <row r="12">
      <c r="A12" s="5" t="inlineStr">
        <is>
          <t>A holding tab can override any level: just type a number over the green link.</t>
        </is>
      </c>
    </row>
    <row r="14" ht="18" customHeight="1">
      <c r="A14" s="6" t="inlineStr">
        <is>
          <t>SIGNAL PRIORITY  —  the order each holding tab tests</t>
        </is>
      </c>
      <c r="B14" s="7" t="n"/>
      <c r="C14" s="7" t="n"/>
      <c r="D14" s="7" t="n"/>
      <c r="E14" s="7" t="n"/>
      <c r="F14" s="7" t="n"/>
    </row>
    <row r="15">
      <c r="A15" s="25" t="inlineStr">
        <is>
          <t>1.  No position  -&gt;  NO POSITION</t>
        </is>
      </c>
    </row>
    <row r="16">
      <c r="A16" s="25" t="inlineStr">
        <is>
          <t>2.  Manual sell price set and reached  -&gt;  SELL - MANUAL TARGET</t>
        </is>
      </c>
    </row>
    <row r="17">
      <c r="A17" s="25" t="inlineStr">
        <is>
          <t>3.  Price at or below stop loss  -&gt;  SELL - STOP LOSS</t>
        </is>
      </c>
    </row>
    <row r="18">
      <c r="A18" s="25" t="inlineStr">
        <is>
          <t>4.  Price at or above take-profit  -&gt;  SELL - TARGET HIT</t>
        </is>
      </c>
    </row>
    <row r="19">
      <c r="A19" s="25" t="inlineStr">
        <is>
          <t>5.  Price at or above trim 2  -&gt;  TRIM 2</t>
        </is>
      </c>
    </row>
    <row r="20">
      <c r="A20" s="25" t="inlineStr">
        <is>
          <t>6.  Price at or above trim 1  -&gt;  TRIM 1</t>
        </is>
      </c>
    </row>
    <row r="21">
      <c r="A21" s="25" t="inlineStr">
        <is>
          <t>7.  Price at or below trailing stop  -&gt;  REVIEW - TRAILING STOP</t>
        </is>
      </c>
    </row>
    <row r="22">
      <c r="A22" s="25" t="inlineStr">
        <is>
          <t>8.  Otherwise  -&gt;  HOLD</t>
        </is>
      </c>
    </row>
    <row r="24">
      <c r="A24" s="5" t="inlineStr">
        <is>
          <t>Stop loss is tested before take-profit so a crash is never masked by a stale target.</t>
        </is>
      </c>
    </row>
  </sheetData>
  <mergeCells count="3">
    <mergeCell ref="A3:F3"/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2026-08-04T11:49:50Z</dcterms:created>
  <dcterms:modified xsi:type="dcterms:W3CDTF">2026-08-04T11:49:50Z</dcterms:modified>
</cp:coreProperties>
</file>