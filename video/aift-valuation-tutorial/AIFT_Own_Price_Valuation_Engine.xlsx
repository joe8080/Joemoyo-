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Inputs" sheetId="1" state="visible" r:id="rId1"/>
    <sheet name="Sensitivity" sheetId="2" state="visible" r:id="rId2"/>
    <sheet name="DCF" sheetId="3" state="visible" r:id="rId3"/>
    <sheet name="Peers" sheetId="4" state="visible" r:id="rId4"/>
    <sheet name="OwnPrice" sheetId="5" state="visible" r:id="rId5"/>
    <sheet name="VersionLog" sheetId="6" state="visible" r:id="rId6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6">
    <numFmt numFmtId="164" formatCode="\$0.00"/>
    <numFmt numFmtId="165" formatCode="#,##0.000"/>
    <numFmt numFmtId="166" formatCode="\$#,##0.0;&quot;($&quot;#,##0.0\);\-"/>
    <numFmt numFmtId="167" formatCode="0.0%"/>
    <numFmt numFmtId="168" formatCode="\$#,##0.00"/>
    <numFmt numFmtId="169" formatCode="0.000"/>
  </numFmts>
  <fonts count="11">
    <font>
      <name val="Calibri"/>
      <charset val="1"/>
      <family val="2"/>
      <color theme="1"/>
      <sz val="11"/>
    </font>
    <font>
      <name val="Arial"/>
      <charset val="1"/>
      <b val="1"/>
      <sz val="13"/>
    </font>
    <font>
      <name val="Arial"/>
      <charset val="1"/>
      <i val="1"/>
      <color rgb="FF555555"/>
      <sz val="9"/>
    </font>
    <font>
      <name val="Arial"/>
      <charset val="1"/>
      <b val="1"/>
      <color rgb="FFB45309"/>
      <sz val="9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color rgb="FF0000FF"/>
      <sz val="10"/>
    </font>
    <font>
      <name val="Arial"/>
      <charset val="1"/>
      <b val="1"/>
      <color rgb="FF0000FF"/>
      <sz val="10"/>
    </font>
    <font>
      <name val="Arial"/>
      <charset val="1"/>
      <color rgb="FF008000"/>
      <sz val="10"/>
    </font>
    <font>
      <name val="Arial"/>
      <charset val="1"/>
      <b val="1"/>
      <color rgb="FF008000"/>
      <sz val="10"/>
    </font>
    <font>
      <name val="Arial"/>
      <charset val="1"/>
      <b val="1"/>
      <sz val="12"/>
    </font>
  </fonts>
  <fills count="4">
    <fill>
      <patternFill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164" fontId="7" fillId="3" borderId="0" pivotButton="0" quotePrefix="0" xfId="0"/>
    <xf numFmtId="165" fontId="6" fillId="0" borderId="0" pivotButton="0" quotePrefix="0" xfId="0"/>
    <xf numFmtId="165" fontId="5" fillId="0" borderId="0" pivotButton="0" quotePrefix="0" xfId="0"/>
    <xf numFmtId="166" fontId="4" fillId="0" borderId="0" pivotButton="0" quotePrefix="0" xfId="0"/>
    <xf numFmtId="166" fontId="6" fillId="0" borderId="0" pivotButton="0" quotePrefix="0" xfId="0"/>
    <xf numFmtId="166" fontId="5" fillId="0" borderId="0" pivotButton="0" quotePrefix="0" xfId="0"/>
    <xf numFmtId="0" fontId="7" fillId="3" borderId="0" pivotButton="0" quotePrefix="0" xfId="0"/>
    <xf numFmtId="167" fontId="5" fillId="0" borderId="0" pivotButton="0" quotePrefix="0" xfId="0"/>
    <xf numFmtId="167" fontId="7" fillId="3" borderId="0" pivotButton="0" quotePrefix="0" xfId="0"/>
    <xf numFmtId="167" fontId="4" fillId="0" borderId="0" pivotButton="0" quotePrefix="0" xfId="0"/>
    <xf numFmtId="167" fontId="6" fillId="0" borderId="0" pivotButton="0" quotePrefix="0" xfId="0"/>
    <xf numFmtId="3" fontId="6" fillId="0" borderId="0" pivotButton="0" quotePrefix="0" xfId="0"/>
    <xf numFmtId="4" fontId="6" fillId="0" borderId="0" pivotButton="0" quotePrefix="0" xfId="0"/>
    <xf numFmtId="167" fontId="4" fillId="3" borderId="0" pivotButton="0" quotePrefix="0" xfId="0"/>
    <xf numFmtId="168" fontId="6" fillId="0" borderId="0" pivotButton="0" quotePrefix="0" xfId="0"/>
    <xf numFmtId="164" fontId="6" fillId="0" borderId="0" pivotButton="0" quotePrefix="0" xfId="0"/>
    <xf numFmtId="168" fontId="8" fillId="0" borderId="0" pivotButton="0" quotePrefix="0" xfId="0"/>
    <xf numFmtId="168" fontId="5" fillId="0" borderId="0" pivotButton="0" quotePrefix="0" xfId="0"/>
    <xf numFmtId="4" fontId="8" fillId="0" borderId="0" pivotButton="0" quotePrefix="0" xfId="0"/>
    <xf numFmtId="168" fontId="6" fillId="3" borderId="0" pivotButton="0" quotePrefix="0" xfId="0"/>
    <xf numFmtId="0" fontId="4" fillId="2" borderId="0" applyAlignment="1" pivotButton="0" quotePrefix="0" xfId="0">
      <alignment horizontal="center"/>
    </xf>
    <xf numFmtId="1" fontId="5" fillId="0" borderId="0" pivotButton="0" quotePrefix="0" xfId="0"/>
    <xf numFmtId="169" fontId="5" fillId="0" borderId="0" pivotButton="0" quotePrefix="0" xfId="0"/>
    <xf numFmtId="166" fontId="8" fillId="0" borderId="0" pivotButton="0" quotePrefix="0" xfId="0"/>
    <xf numFmtId="164" fontId="4" fillId="3" borderId="0" pivotButton="0" quotePrefix="0" xfId="0"/>
    <xf numFmtId="164" fontId="9" fillId="0" borderId="0" pivotButton="0" quotePrefix="0" xfId="0"/>
    <xf numFmtId="164" fontId="8" fillId="0" borderId="0" pivotButton="0" quotePrefix="0" xfId="0"/>
    <xf numFmtId="164" fontId="5" fillId="0" borderId="0" pivotButton="0" quotePrefix="0" xfId="0"/>
    <xf numFmtId="167" fontId="8" fillId="0" borderId="0" pivotButton="0" quotePrefix="0" xfId="0"/>
    <xf numFmtId="164" fontId="10" fillId="3" borderId="0" pivotButton="0" quotePrefix="0" xfId="0"/>
    <xf numFmtId="0" fontId="4" fillId="3" borderId="0" pivotButton="0" quotePrefix="0" xfId="0"/>
    <xf numFmtId="15" fontId="8" fillId="0" borderId="0" pivotButton="0" quotePrefix="0" xfId="0"/>
    <xf numFmtId="0" fontId="8" fillId="0" borderId="0" pivotButton="0" quotePrefix="0" xfId="0"/>
    <xf numFmtId="15" fontId="5" fillId="0" borderId="0" pivotButton="0" quotePrefix="0" xfId="0"/>
    <xf numFmtId="1" fontId="4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B45309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zoomScaleNormal="100" workbookViewId="0">
      <pane ySplit="4" topLeftCell="A5" activePane="bottomLeft" state="frozen"/>
      <selection pane="bottomLeft" activeCell="A30" sqref="A30"/>
    </sheetView>
  </sheetViews>
  <sheetFormatPr baseColWidth="8" defaultColWidth="8.7421875" defaultRowHeight="15"/>
  <cols>
    <col width="36.05078125" customWidth="1" style="1" min="1" max="1"/>
    <col width="16.0078125" customWidth="1" style="1" min="2" max="2"/>
    <col width="62.015625" customWidth="1" style="1" min="3" max="3"/>
    <col width="4.03515625" customWidth="1" style="1" min="4" max="4"/>
    <col width="13.046875" customWidth="1" style="1" min="5" max="6"/>
    <col width="14.9296875" customWidth="1" style="1" min="7" max="7"/>
    <col width="13.98828125" customWidth="1" style="1" min="8" max="8"/>
  </cols>
  <sheetData>
    <row r="1" ht="15.75" customHeight="1" s="1">
      <c r="A1" s="2" t="inlineStr">
        <is>
          <t>AI FINANCE TOOLKIT — OWN-PRICE VALUATION ENGINE</t>
        </is>
      </c>
    </row>
    <row r="2" ht="15" customHeight="1" s="1">
      <c r="A2" s="3" t="inlineStr">
        <is>
          <t>Reusable any-cap model  ·  Worked example: enCore Energy Corp (EU)</t>
        </is>
      </c>
    </row>
    <row r="3" ht="15" customHeight="1" s="1">
      <c r="A3" s="4" t="inlineStr">
        <is>
          <t>HOW TO USE — 1) Edit BLUE cells only.  2) Pick your cap bucket in the YELLOW dropdown (B21).  3) Read your answer on the OwnPrice tab.  YELLOW = key levers.</t>
        </is>
      </c>
    </row>
    <row r="5" ht="15" customHeight="1" s="1">
      <c r="A5" s="5" t="inlineStr">
        <is>
          <t>A. COMPANY &amp; MARKET</t>
        </is>
      </c>
      <c r="B5" s="5" t="n"/>
      <c r="C5" s="5" t="inlineStr">
        <is>
          <t>Source / note</t>
        </is>
      </c>
    </row>
    <row r="6" ht="15" customHeight="1" s="1">
      <c r="A6" s="6" t="inlineStr">
        <is>
          <t>Company name</t>
        </is>
      </c>
      <c r="B6" s="7" t="inlineStr">
        <is>
          <t>enCore Energy Corp</t>
        </is>
      </c>
      <c r="C6" s="3" t="inlineStr">
        <is>
          <t>Swap for any stock</t>
        </is>
      </c>
    </row>
    <row r="7" ht="15" customHeight="1" s="1">
      <c r="A7" s="6" t="inlineStr">
        <is>
          <t>Ticker / exchange</t>
        </is>
      </c>
      <c r="B7" s="7" t="inlineStr">
        <is>
          <t>EU (NASDAQ)</t>
        </is>
      </c>
      <c r="C7" s="3" t="inlineStr">
        <is>
          <t>Use the USD listing, not TSXV CAD line</t>
        </is>
      </c>
    </row>
    <row r="8" ht="15" customHeight="1" s="1">
      <c r="A8" s="8" t="inlineStr">
        <is>
          <t>Share price ($)</t>
        </is>
      </c>
      <c r="B8" s="9" t="n">
        <v>1.25</v>
      </c>
      <c r="C8" s="3" t="inlineStr">
        <is>
          <t>VERIFY LIVE — observed $1.30–$2.05 mid-Jul 2026 (ChartMill $1.52)</t>
        </is>
      </c>
    </row>
    <row r="9" ht="15" customHeight="1" s="1">
      <c r="A9" s="6" t="inlineStr">
        <is>
          <t>Shares outstanding — basic (M)</t>
        </is>
      </c>
      <c r="B9" s="10" t="n">
        <v>194.216</v>
      </c>
      <c r="C9" s="3" t="inlineStr">
        <is>
          <t>10-Q balance sheet, 31 Mar 2026 (194,216,153)</t>
        </is>
      </c>
    </row>
    <row r="10" ht="15" customHeight="1" s="1">
      <c r="A10" s="6" t="inlineStr">
        <is>
          <t>Shares outstanding — diluted (M)</t>
        </is>
      </c>
      <c r="B10" s="10" t="n">
        <v>204.8</v>
      </c>
      <c r="C10" s="3" t="inlineStr">
        <is>
          <t>Corp. presentation, 24 Mar 2026</t>
        </is>
      </c>
    </row>
    <row r="11" ht="15" customHeight="1" s="1">
      <c r="A11" s="6" t="inlineStr">
        <is>
          <t>Shares used for valuation (M)</t>
        </is>
      </c>
      <c r="B11" s="11">
        <f>B9</f>
        <v/>
      </c>
      <c r="C11" s="3" t="inlineStr">
        <is>
          <t>Change to =B10 for a more conservative per-share NAV</t>
        </is>
      </c>
    </row>
    <row r="12" ht="15" customHeight="1" s="1">
      <c r="A12" s="8" t="inlineStr">
        <is>
          <t>Market cap ($M)</t>
        </is>
      </c>
      <c r="B12" s="12">
        <f>B8*B11</f>
        <v/>
      </c>
      <c r="C12" s="3" t="inlineStr">
        <is>
          <t>price x shares — drives the suggested cap bucket</t>
        </is>
      </c>
    </row>
    <row r="13" ht="15" customHeight="1" s="1">
      <c r="A13" s="6" t="inlineStr">
        <is>
          <t>Cash &amp; equivalents ($M)</t>
        </is>
      </c>
      <c r="B13" s="13" t="n">
        <v>41.6</v>
      </c>
      <c r="C13" s="3" t="inlineStr">
        <is>
          <t>10-Q, 31 Mar 2026 ($41.56M)</t>
        </is>
      </c>
    </row>
    <row r="14" ht="15" customHeight="1" s="1">
      <c r="A14" s="6" t="inlineStr">
        <is>
          <t>Marketable securities ($M)</t>
        </is>
      </c>
      <c r="B14" s="13" t="n">
        <v>70.09999999999999</v>
      </c>
      <c r="C14" s="3" t="inlineStr">
        <is>
          <t>10-Q, 31 Mar 2026 (incl. 23.8M Ur-Energy shares)</t>
        </is>
      </c>
    </row>
    <row r="15" ht="15" customHeight="1" s="1">
      <c r="A15" s="6" t="inlineStr">
        <is>
          <t>Debt — face value ($M)</t>
        </is>
      </c>
      <c r="B15" s="13" t="n">
        <v>115</v>
      </c>
      <c r="C15" s="3" t="inlineStr">
        <is>
          <t>Convertible note $115M face, 5.5%, matures Aug 2030</t>
        </is>
      </c>
    </row>
    <row r="16" ht="15" customHeight="1" s="1">
      <c r="A16" s="6" t="inlineStr">
        <is>
          <t>Net cash / (debt) ($M)</t>
        </is>
      </c>
      <c r="B16" s="14">
        <f>B13+B14-B15</f>
        <v/>
      </c>
      <c r="C16" s="3" t="inlineStr">
        <is>
          <t>Conservative: uses face value of the convertible</t>
        </is>
      </c>
    </row>
    <row r="19" ht="15" customHeight="1" s="1">
      <c r="A19" s="5" t="inlineStr">
        <is>
          <t>B. CAP-SIZE ENGINE</t>
        </is>
      </c>
      <c r="B19" s="5" t="n"/>
      <c r="C19" s="5" t="n"/>
    </row>
    <row r="20" ht="15" customHeight="1" s="1">
      <c r="A20" s="6" t="inlineStr">
        <is>
          <t>Suggested bucket (auto, from market cap)</t>
        </is>
      </c>
      <c r="B20" s="6">
        <f>IF(B12&lt;E29,"Micro",IF(B12&lt;E30,"Small",IF(B12&lt;E31,"Mid","Large")))</f>
        <v/>
      </c>
      <c r="C20" s="3" t="inlineStr">
        <is>
          <t>Auto-classified from B12 vs thresholds in the table below</t>
        </is>
      </c>
    </row>
    <row r="21" ht="15" customHeight="1" s="1">
      <c r="A21" s="8" t="inlineStr">
        <is>
          <t>SELECTED cap bucket</t>
        </is>
      </c>
      <c r="B21" s="15" t="inlineStr">
        <is>
          <t>Micro</t>
        </is>
      </c>
      <c r="C21" s="3" t="inlineStr">
        <is>
          <t>Dropdown: Micro / Small / Mid / Large — accept the suggestion or override</t>
        </is>
      </c>
    </row>
    <row r="22" ht="15" customHeight="1" s="1">
      <c r="A22" s="6" t="inlineStr">
        <is>
          <t>Size premium (auto from bucket)</t>
        </is>
      </c>
      <c r="B22" s="16">
        <f>INDEX($F$28:$F$31,MATCH($B$21,$E$28:$E$31,0))</f>
        <v/>
      </c>
      <c r="C22" s="3" t="inlineStr">
        <is>
          <t>Kroll CRSP decile size-premium study (D10 ≈ 4.7%)</t>
        </is>
      </c>
    </row>
    <row r="23" ht="15" customHeight="1" s="1">
      <c r="A23" s="6" t="inlineStr">
        <is>
          <t>Liquidity discount — bucket default</t>
        </is>
      </c>
      <c r="B23" s="16">
        <f>INDEX($G$28:$G$31,MATCH($B$21,$E$28:$E$31,0))</f>
        <v/>
      </c>
      <c r="C23" s="3" t="inlineStr">
        <is>
          <t>Restricted-stock / pre-IPO DLOM study ranges</t>
        </is>
      </c>
    </row>
    <row r="24" ht="15" customHeight="1" s="1">
      <c r="A24" s="6" t="inlineStr">
        <is>
          <t>Liquidity discount — override (optional)</t>
        </is>
      </c>
      <c r="B24" s="17" t="n">
        <v>0.1</v>
      </c>
      <c r="C24" s="3" t="inlineStr">
        <is>
          <t>EU is exchange-listed &amp; trades daily → ~10%, not the full 25% private-company DLOM. DELETE this cell's value to use the bucket default</t>
        </is>
      </c>
    </row>
    <row r="25" ht="15" customHeight="1" s="1">
      <c r="A25" s="8" t="inlineStr">
        <is>
          <t>Liquidity discount USED</t>
        </is>
      </c>
      <c r="B25" s="18">
        <f>IF(ISNUMBER(B24),B24,B23)</f>
        <v/>
      </c>
      <c r="C25" s="3" t="inlineStr">
        <is>
          <t>Feeds the OwnPrice haircut</t>
        </is>
      </c>
    </row>
    <row r="27" ht="15" customHeight="1" s="1">
      <c r="E27" s="8" t="inlineStr">
        <is>
          <t>Calibration table (BLUE = retune to taste)</t>
        </is>
      </c>
    </row>
    <row r="28" ht="15" customHeight="1" s="1">
      <c r="D28" s="3" t="inlineStr">
        <is>
          <t>Thresholds ($M) →</t>
        </is>
      </c>
      <c r="E28" s="7" t="inlineStr">
        <is>
          <t>Micro</t>
        </is>
      </c>
      <c r="F28" s="19" t="n">
        <v>0.045</v>
      </c>
      <c r="G28" s="19" t="n">
        <v>0.25</v>
      </c>
      <c r="H28" s="3" t="inlineStr">
        <is>
          <t>&lt; $300M</t>
        </is>
      </c>
    </row>
    <row r="29" ht="15" customHeight="1" s="1">
      <c r="E29" s="7" t="inlineStr">
        <is>
          <t>Small</t>
        </is>
      </c>
      <c r="F29" s="19" t="n">
        <v>0.025</v>
      </c>
      <c r="G29" s="19" t="n">
        <v>0.15</v>
      </c>
      <c r="H29" s="3" t="inlineStr">
        <is>
          <t>$300M – $2B</t>
        </is>
      </c>
    </row>
    <row r="30" ht="15" customHeight="1" s="1">
      <c r="E30" s="7" t="inlineStr">
        <is>
          <t>Mid</t>
        </is>
      </c>
      <c r="F30" s="19" t="n">
        <v>0.01</v>
      </c>
      <c r="G30" s="19" t="n">
        <v>0.075</v>
      </c>
      <c r="H30" s="3" t="inlineStr">
        <is>
          <t>$2B – $10B</t>
        </is>
      </c>
    </row>
    <row r="31" ht="15" customHeight="1" s="1">
      <c r="E31" s="7" t="inlineStr">
        <is>
          <t>Large</t>
        </is>
      </c>
      <c r="F31" s="19" t="n">
        <v>0</v>
      </c>
      <c r="G31" s="19" t="n">
        <v>0.025</v>
      </c>
      <c r="H31" s="3" t="inlineStr">
        <is>
          <t>&gt; $10B</t>
        </is>
      </c>
    </row>
    <row r="33" ht="15" customHeight="1" s="1">
      <c r="E33" s="3" t="inlineStr">
        <is>
          <t>Auto-classifier thresholds ($M):</t>
        </is>
      </c>
    </row>
    <row r="34" ht="15" customHeight="1" s="1">
      <c r="A34" s="5" t="inlineStr">
        <is>
          <t>C. DISCOUNT RATE BUILD</t>
        </is>
      </c>
      <c r="B34" s="5" t="n"/>
      <c r="C34" s="5" t="n"/>
      <c r="E34" s="3" t="inlineStr">
        <is>
          <t>Micro/Small</t>
        </is>
      </c>
      <c r="F34" s="20" t="n">
        <v>300</v>
      </c>
    </row>
    <row r="35" ht="15" customHeight="1" s="1">
      <c r="A35" s="6" t="inlineStr">
        <is>
          <t>Risk-free rate (US 10Y)</t>
        </is>
      </c>
      <c r="B35" s="19" t="n">
        <v>0.0455</v>
      </c>
      <c r="C35" s="3" t="inlineStr">
        <is>
          <t>UST 10Y, 17 Jul 2026</t>
        </is>
      </c>
      <c r="E35" s="3" t="inlineStr">
        <is>
          <t>Small/Mid</t>
        </is>
      </c>
      <c r="F35" s="20" t="n">
        <v>2000</v>
      </c>
    </row>
    <row r="36" ht="15" customHeight="1" s="1">
      <c r="A36" s="6" t="inlineStr">
        <is>
          <t>Equity risk premium</t>
        </is>
      </c>
      <c r="B36" s="19" t="n">
        <v>0.05</v>
      </c>
      <c r="C36" s="3" t="inlineStr">
        <is>
          <t>Kroll recommended US ERP (Damodaran alt: 4.45%)</t>
        </is>
      </c>
      <c r="E36" s="3" t="inlineStr">
        <is>
          <t>Mid/Large</t>
        </is>
      </c>
      <c r="F36" s="20" t="n">
        <v>10000</v>
      </c>
    </row>
    <row r="37" ht="15" customHeight="1" s="1">
      <c r="A37" s="6" t="inlineStr">
        <is>
          <t>Beta</t>
        </is>
      </c>
      <c r="B37" s="21" t="n">
        <v>1.3</v>
      </c>
      <c r="C37" s="3" t="inlineStr">
        <is>
          <t>Micro-cap uranium producer; set 1.0 for a steadier name</t>
        </is>
      </c>
    </row>
    <row r="38" ht="15" customHeight="1" s="1">
      <c r="A38" s="6" t="inlineStr">
        <is>
          <t>Base cost of equity</t>
        </is>
      </c>
      <c r="B38" s="16">
        <f>B35+B37*B36</f>
        <v/>
      </c>
      <c r="C38" s="3" t="inlineStr">
        <is>
          <t>RFR + beta x ERP</t>
        </is>
      </c>
    </row>
    <row r="39" ht="15" customHeight="1" s="1">
      <c r="A39" s="6" t="inlineStr">
        <is>
          <t>+ Size premium</t>
        </is>
      </c>
      <c r="B39" s="16">
        <f>B22</f>
        <v/>
      </c>
    </row>
    <row r="40" ht="15" customHeight="1" s="1">
      <c r="A40" s="8" t="inlineStr">
        <is>
          <t>DISCOUNT RATE USED</t>
        </is>
      </c>
      <c r="B40" s="22">
        <f>B38+B22</f>
        <v/>
      </c>
      <c r="C40" s="3" t="inlineStr">
        <is>
          <t>Feeds every PV in the DCF</t>
        </is>
      </c>
    </row>
    <row r="42" ht="15" customHeight="1" s="1">
      <c r="A42" s="5" t="inlineStr">
        <is>
          <t>D. TERMINAL VALUE &amp; OPERATING LEVERS</t>
        </is>
      </c>
      <c r="B42" s="5" t="n"/>
      <c r="C42" s="5" t="n"/>
    </row>
    <row r="43" ht="15" customHeight="1" s="1">
      <c r="A43" s="8" t="inlineStr">
        <is>
          <t>TV method</t>
        </is>
      </c>
      <c r="B43" s="15" t="inlineStr">
        <is>
          <t>Exit multiple</t>
        </is>
      </c>
      <c r="C43" s="3" t="inlineStr">
        <is>
          <t>Dropdown: 'Gordon growth' or 'Exit multiple'. Exit multiple suits a ramping miner with lumpy capex</t>
        </is>
      </c>
    </row>
    <row r="44" ht="15" customHeight="1" s="1">
      <c r="A44" s="6" t="inlineStr">
        <is>
          <t>TV growth rate (Gordon)</t>
        </is>
      </c>
      <c r="B44" s="19" t="n">
        <v>0.02</v>
      </c>
      <c r="C44" s="3" t="inlineStr">
        <is>
          <t>Long-run inflation</t>
        </is>
      </c>
    </row>
    <row r="45" ht="15" customHeight="1" s="1">
      <c r="A45" s="6" t="inlineStr">
        <is>
          <t>Exit EV per lb of resource ($/lb)</t>
        </is>
      </c>
      <c r="B45" s="23" t="n">
        <v>12</v>
      </c>
      <c r="C45" s="3" t="inlineStr">
        <is>
          <t>Peer-derived $10–15/lb band; also feeds the Peers leg</t>
        </is>
      </c>
    </row>
    <row r="46" ht="15" customHeight="1" s="1">
      <c r="A46" s="6" t="inlineStr">
        <is>
          <t>Total resource (M lbs)</t>
        </is>
      </c>
      <c r="B46" s="21" t="n">
        <v>51.5</v>
      </c>
      <c r="C46" s="3" t="inlineStr">
        <is>
          <t>S-K 1300, 31 Dec 2025: 30.94M M&amp;I + 20.54M inferred</t>
        </is>
      </c>
    </row>
    <row r="47" ht="15" customHeight="1" s="1">
      <c r="A47" s="6" t="inlineStr">
        <is>
          <t>Overhead (% of revenue)</t>
        </is>
      </c>
      <c r="B47" s="19" t="n">
        <v>0.175</v>
      </c>
      <c r="C47" s="3" t="inlineStr">
        <is>
          <t>Assumption — admin + exploration</t>
        </is>
      </c>
    </row>
    <row r="48" ht="15" customHeight="1" s="1">
      <c r="A48" s="6" t="inlineStr">
        <is>
          <t>Sustaining capex, steady state ($M/yr)</t>
        </is>
      </c>
      <c r="B48" s="13" t="n">
        <v>35</v>
      </c>
      <c r="C48" s="3" t="inlineStr">
        <is>
          <t>Used to normalise FCF for the terminal year</t>
        </is>
      </c>
    </row>
    <row r="50" ht="15" customHeight="1" s="1">
      <c r="A50" s="5" t="inlineStr">
        <is>
          <t>E. BLEND &amp; ANALYST ANCHOR</t>
        </is>
      </c>
      <c r="B50" s="5" t="n"/>
      <c r="C50" s="5" t="n"/>
    </row>
    <row r="51" ht="15" customHeight="1" s="1">
      <c r="A51" s="6" t="inlineStr">
        <is>
          <t>Analyst target price ($)</t>
        </is>
      </c>
      <c r="B51" s="24" t="n">
        <v>3.75</v>
      </c>
      <c r="C51" s="3" t="inlineStr">
        <is>
          <t>HC Wainwright (15 May 26) + Northland (18 May 26); MarketBeat consensus $3.83. NB: Zacks cut to Strong Sell 16 Jul 26</t>
        </is>
      </c>
    </row>
    <row r="52" ht="15" customHeight="1" s="1">
      <c r="A52" s="6" t="inlineStr">
        <is>
          <t>Weight — NAV</t>
        </is>
      </c>
      <c r="B52" s="19" t="n">
        <v>0.5</v>
      </c>
    </row>
    <row r="53" ht="15" customHeight="1" s="1">
      <c r="A53" s="6" t="inlineStr">
        <is>
          <t>Weight — Peer</t>
        </is>
      </c>
      <c r="B53" s="19" t="n">
        <v>0.3</v>
      </c>
    </row>
    <row r="54" ht="15" customHeight="1" s="1">
      <c r="A54" s="6" t="inlineStr">
        <is>
          <t>Weight — Analyst</t>
        </is>
      </c>
      <c r="B54" s="19" t="n">
        <v>0.2</v>
      </c>
    </row>
    <row r="55" ht="15" customHeight="1" s="1">
      <c r="A55" s="6" t="inlineStr">
        <is>
          <t>Weight check</t>
        </is>
      </c>
      <c r="B55" s="6">
        <f>IF(ABS(B52+B53+B54-1)&lt;0.001,"OK — 100%","WARNING — weights do not sum to 100%")</f>
        <v/>
      </c>
    </row>
  </sheetData>
  <dataValidations count="2">
    <dataValidation sqref="B21" showDropDown="0" showInputMessage="0" showErrorMessage="0" allowBlank="0" type="list">
      <formula1>"Micro,Small,Mid,Large"</formula1>
      <formula2>0</formula2>
    </dataValidation>
    <dataValidation sqref="B43" showDropDown="0" showInputMessage="0" showErrorMessage="0" allowBlank="0" type="list">
      <formula1>"Gordon growth,Exit multiple"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topLeftCell="G1" zoomScaleNormal="100" workbookViewId="0">
      <selection activeCell="A1" sqref="A1"/>
    </sheetView>
  </sheetViews>
  <sheetFormatPr baseColWidth="8" defaultColWidth="8.7421875" defaultRowHeight="15"/>
  <cols>
    <col width="23.9453125" customWidth="1" style="1" min="1" max="1"/>
    <col width="11.02734375" customWidth="1" style="1" min="2" max="2"/>
    <col width="20.04296875" customWidth="1" style="1" min="3" max="3"/>
    <col width="13.98828125" customWidth="1" style="1" min="4" max="5"/>
    <col width="16.0078125" customWidth="1" style="1" min="6" max="7"/>
    <col width="14.9296875" customWidth="1" style="1" min="8" max="9"/>
  </cols>
  <sheetData>
    <row r="1" ht="15.75" customHeight="1" s="1">
      <c r="A1" s="2" t="inlineStr">
        <is>
          <t>URANIUM PRICE SENSITIVITY — Year-1 economics</t>
        </is>
      </c>
    </row>
    <row r="2" ht="15" customHeight="1" s="1">
      <c r="A2" s="3" t="inlineStr">
        <is>
          <t>Anchors: spot $85.25/lb (15 Jul 2026) · term $91.50/lb (Kazatomprom Q1 26) · EU Q1 26 realized $67.78/lb. EU sells into legacy contracts, so model REALIZED price, not spot.</t>
        </is>
      </c>
    </row>
    <row r="4" ht="15" customHeight="1" s="1">
      <c r="A4" s="5" t="inlineStr">
        <is>
          <t>Scenario</t>
        </is>
      </c>
      <c r="B4" s="5" t="inlineStr">
        <is>
          <t>Spot ($/lb)</t>
        </is>
      </c>
      <c r="C4" s="5" t="inlineStr">
        <is>
          <t>Assumed realized ($/lb)</t>
        </is>
      </c>
      <c r="D4" s="5" t="inlineStr">
        <is>
          <t>Cash cost ($/lb)</t>
        </is>
      </c>
      <c r="E4" s="5" t="inlineStr">
        <is>
          <t>Total cost ($/lb)</t>
        </is>
      </c>
      <c r="F4" s="5" t="inlineStr">
        <is>
          <t>Cash margin ($/lb)</t>
        </is>
      </c>
      <c r="G4" s="5" t="inlineStr">
        <is>
          <t>All-in margin ($/lb)</t>
        </is>
      </c>
      <c r="H4" s="5" t="inlineStr">
        <is>
          <t>Production (M lbs)</t>
        </is>
      </c>
      <c r="I4" s="5" t="inlineStr">
        <is>
          <t>Gross profit ($M)</t>
        </is>
      </c>
    </row>
    <row r="5" ht="15" customHeight="1" s="1">
      <c r="A5" s="6" t="inlineStr">
        <is>
          <t>Bear</t>
        </is>
      </c>
      <c r="B5" s="23" t="n">
        <v>50</v>
      </c>
      <c r="C5" s="23" t="n">
        <v>55</v>
      </c>
      <c r="D5" s="25">
        <f>DCF!B7</f>
        <v/>
      </c>
      <c r="E5" s="25">
        <f>DCF!B8</f>
        <v/>
      </c>
      <c r="F5" s="26">
        <f>C5-D5</f>
        <v/>
      </c>
      <c r="G5" s="26">
        <f>C5-E5</f>
        <v/>
      </c>
      <c r="H5" s="27">
        <f>DCF!B4</f>
        <v/>
      </c>
      <c r="I5" s="12">
        <f>G5*H5</f>
        <v/>
      </c>
    </row>
    <row r="6" ht="15" customHeight="1" s="1">
      <c r="A6" s="6" t="inlineStr">
        <is>
          <t>Base (≈ current realized)</t>
        </is>
      </c>
      <c r="B6" s="23" t="n">
        <v>70</v>
      </c>
      <c r="C6" s="28" t="n">
        <v>68</v>
      </c>
      <c r="D6" s="25">
        <f>DCF!B7</f>
        <v/>
      </c>
      <c r="E6" s="25">
        <f>DCF!B8</f>
        <v/>
      </c>
      <c r="F6" s="26">
        <f>C6-D6</f>
        <v/>
      </c>
      <c r="G6" s="26">
        <f>C6-E6</f>
        <v/>
      </c>
      <c r="H6" s="27">
        <f>DCF!B4</f>
        <v/>
      </c>
      <c r="I6" s="12">
        <f>G6*H6</f>
        <v/>
      </c>
    </row>
    <row r="7" ht="15" customHeight="1" s="1">
      <c r="A7" s="6" t="inlineStr">
        <is>
          <t>Term-price world</t>
        </is>
      </c>
      <c r="B7" s="23" t="n">
        <v>90</v>
      </c>
      <c r="C7" s="23" t="n">
        <v>87</v>
      </c>
      <c r="D7" s="25">
        <f>DCF!B7</f>
        <v/>
      </c>
      <c r="E7" s="25">
        <f>DCF!B8</f>
        <v/>
      </c>
      <c r="F7" s="26">
        <f>C7-D7</f>
        <v/>
      </c>
      <c r="G7" s="26">
        <f>C7-E7</f>
        <v/>
      </c>
      <c r="H7" s="27">
        <f>DCF!B4</f>
        <v/>
      </c>
      <c r="I7" s="12">
        <f>G7*H7</f>
        <v/>
      </c>
    </row>
    <row r="8" ht="15" customHeight="1" s="1">
      <c r="A8" s="6" t="inlineStr">
        <is>
          <t>Bull</t>
        </is>
      </c>
      <c r="B8" s="23" t="n">
        <v>110</v>
      </c>
      <c r="C8" s="23" t="n">
        <v>105</v>
      </c>
      <c r="D8" s="25">
        <f>DCF!B7</f>
        <v/>
      </c>
      <c r="E8" s="25">
        <f>DCF!B8</f>
        <v/>
      </c>
      <c r="F8" s="26">
        <f>C8-D8</f>
        <v/>
      </c>
      <c r="G8" s="26">
        <f>C8-E8</f>
        <v/>
      </c>
      <c r="H8" s="27">
        <f>DCF!B4</f>
        <v/>
      </c>
      <c r="I8" s="12">
        <f>G8*H8</f>
        <v/>
      </c>
    </row>
    <row r="10" ht="15" customHeight="1" s="1">
      <c r="A10" s="3" t="inlineStr">
        <is>
          <t>BLUE realized prices are yours to flex. Costs &amp; production pull live from DCF Year 1 (green).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tabSelected="1" zoomScaleNormal="100" workbookViewId="0">
      <pane xSplit="1" ySplit="3" topLeftCell="B4" activePane="bottomRight" state="frozen"/>
      <selection pane="bottomLeft" activeCell="A4" sqref="A4"/>
      <selection pane="topRight" activeCell="B1" sqref="B1"/>
      <selection pane="bottomRight" activeCell="A1" sqref="A1"/>
    </sheetView>
  </sheetViews>
  <sheetFormatPr baseColWidth="8" defaultColWidth="8.7421875" defaultRowHeight="15"/>
  <cols>
    <col width="34.03125" customWidth="1" style="1" min="1" max="1"/>
    <col width="11.97265625" customWidth="1" style="1" min="2" max="6"/>
    <col width="69.94921875" customWidth="1" style="1" min="7" max="7"/>
  </cols>
  <sheetData>
    <row r="1" ht="15.75" customHeight="1" s="1">
      <c r="A1" s="2" t="inlineStr">
        <is>
          <t>5-YEAR DCF / NAV — enCore Energy (EU)</t>
        </is>
      </c>
    </row>
    <row r="2" ht="15" customHeight="1" s="1">
      <c r="A2" s="3" t="inlineStr">
        <is>
          <t>BLUE rows = your assumptions (2027–2030 are MODELLED, not company guidance — EU cut FY26 guidance on Alta Mesa permitting). Everything else recalculates.</t>
        </is>
      </c>
    </row>
    <row r="3" ht="15" customHeight="1" s="1">
      <c r="A3" s="5" t="n"/>
      <c r="B3" s="43" t="n">
        <v>2026</v>
      </c>
      <c r="C3" s="43" t="n">
        <v>2027</v>
      </c>
      <c r="D3" s="43" t="n">
        <v>2028</v>
      </c>
      <c r="E3" s="43" t="n">
        <v>2029</v>
      </c>
      <c r="F3" s="43" t="n">
        <v>2030</v>
      </c>
      <c r="G3" s="5" t="inlineStr">
        <is>
          <t>Note</t>
        </is>
      </c>
    </row>
    <row r="4" ht="15" customHeight="1" s="1">
      <c r="A4" s="6" t="inlineStr">
        <is>
          <t>Production (M lbs)</t>
        </is>
      </c>
      <c r="B4" s="21" t="n">
        <v>0.7</v>
      </c>
      <c r="C4" s="21" t="n">
        <v>1</v>
      </c>
      <c r="D4" s="21" t="n">
        <v>1.5</v>
      </c>
      <c r="E4" s="21" t="n">
        <v>2</v>
      </c>
      <c r="F4" s="21" t="n">
        <v>2.5</v>
      </c>
      <c r="G4" s="3" t="inlineStr">
        <is>
          <t>FY25 actual 0.70M; ramp to Alta Mesa 1.5M licensed, then Dewey Burdock — MODELLED</t>
        </is>
      </c>
    </row>
    <row r="5" ht="15" customHeight="1" s="1">
      <c r="A5" s="6" t="inlineStr">
        <is>
          <t>Realized price ($/lb)</t>
        </is>
      </c>
      <c r="B5" s="23" t="n">
        <v>68</v>
      </c>
      <c r="C5" s="23" t="n">
        <v>72</v>
      </c>
      <c r="D5" s="23" t="n">
        <v>78</v>
      </c>
      <c r="E5" s="23" t="n">
        <v>84</v>
      </c>
      <c r="F5" s="23" t="n">
        <v>88</v>
      </c>
      <c r="G5" s="3" t="inlineStr">
        <is>
          <t>Q1 26 actual $67.78 rolling toward $91.50 term as legacy contracts expire</t>
        </is>
      </c>
    </row>
    <row r="6" ht="15" customHeight="1" s="1">
      <c r="A6" s="6" t="inlineStr">
        <is>
          <t>Revenue ($M)</t>
        </is>
      </c>
      <c r="B6" s="14">
        <f>B4*B5</f>
        <v/>
      </c>
      <c r="C6" s="14">
        <f>C4*C5</f>
        <v/>
      </c>
      <c r="D6" s="14">
        <f>D4*D5</f>
        <v/>
      </c>
      <c r="E6" s="14">
        <f>E4*E5</f>
        <v/>
      </c>
      <c r="F6" s="14">
        <f>F4*F5</f>
        <v/>
      </c>
    </row>
    <row r="7" ht="15" customHeight="1" s="1">
      <c r="A7" s="6" t="inlineStr">
        <is>
          <t>Cash cost ($/lb)</t>
        </is>
      </c>
      <c r="B7" s="23" t="n">
        <v>35</v>
      </c>
      <c r="C7" s="23" t="n">
        <v>33</v>
      </c>
      <c r="D7" s="23" t="n">
        <v>31</v>
      </c>
      <c r="E7" s="23" t="n">
        <v>30</v>
      </c>
      <c r="F7" s="23" t="n">
        <v>30</v>
      </c>
      <c r="G7" s="3" t="inlineStr">
        <is>
          <t>Q1 26 actual $34.94, easing with scale</t>
        </is>
      </c>
    </row>
    <row r="8" ht="15" customHeight="1" s="1">
      <c r="A8" s="6" t="inlineStr">
        <is>
          <t>Total cost ($/lb)</t>
        </is>
      </c>
      <c r="B8" s="23" t="n">
        <v>46</v>
      </c>
      <c r="C8" s="23" t="n">
        <v>44</v>
      </c>
      <c r="D8" s="23" t="n">
        <v>42</v>
      </c>
      <c r="E8" s="23" t="n">
        <v>41</v>
      </c>
      <c r="F8" s="23" t="n">
        <v>40</v>
      </c>
      <c r="G8" s="3" t="inlineStr">
        <is>
          <t>Q1 26 extracted all-in $46.43 (cash + $11.48 non-cash)</t>
        </is>
      </c>
    </row>
    <row r="9" ht="15" customHeight="1" s="1">
      <c r="A9" s="6" t="inlineStr">
        <is>
          <t>Operating cost ($M)</t>
        </is>
      </c>
      <c r="B9" s="14">
        <f>B4*B8</f>
        <v/>
      </c>
      <c r="C9" s="14">
        <f>C4*C8</f>
        <v/>
      </c>
      <c r="D9" s="14">
        <f>D4*D8</f>
        <v/>
      </c>
      <c r="E9" s="14">
        <f>E4*E8</f>
        <v/>
      </c>
      <c r="F9" s="14">
        <f>F4*F8</f>
        <v/>
      </c>
    </row>
    <row r="10" ht="15" customHeight="1" s="1">
      <c r="A10" s="6" t="inlineStr">
        <is>
          <t>Gross profit ($M)</t>
        </is>
      </c>
      <c r="B10" s="14">
        <f>B6-B9</f>
        <v/>
      </c>
      <c r="C10" s="14">
        <f>C6-C9</f>
        <v/>
      </c>
      <c r="D10" s="14">
        <f>D6-D9</f>
        <v/>
      </c>
      <c r="E10" s="14">
        <f>E6-E9</f>
        <v/>
      </c>
      <c r="F10" s="14">
        <f>F6-F9</f>
        <v/>
      </c>
    </row>
    <row r="11" ht="15" customHeight="1" s="1">
      <c r="A11" s="6" t="inlineStr">
        <is>
          <t>Overhead ($M)</t>
        </is>
      </c>
      <c r="B11" s="14">
        <f>B6*Inputs!$B$47</f>
        <v/>
      </c>
      <c r="C11" s="14">
        <f>C6*Inputs!$B$47</f>
        <v/>
      </c>
      <c r="D11" s="14">
        <f>D6*Inputs!$B$47</f>
        <v/>
      </c>
      <c r="E11" s="14">
        <f>E6*Inputs!$B$47</f>
        <v/>
      </c>
      <c r="F11" s="14">
        <f>F6*Inputs!$B$47</f>
        <v/>
      </c>
      <c r="G11" s="3" t="inlineStr">
        <is>
          <t>% of revenue from Inputs</t>
        </is>
      </c>
    </row>
    <row r="12" ht="15" customHeight="1" s="1">
      <c r="A12" s="6" t="inlineStr">
        <is>
          <t>EBITDA ($M)</t>
        </is>
      </c>
      <c r="B12" s="12">
        <f>B10-B11</f>
        <v/>
      </c>
      <c r="C12" s="12">
        <f>C10-C11</f>
        <v/>
      </c>
      <c r="D12" s="12">
        <f>D10-D11</f>
        <v/>
      </c>
      <c r="E12" s="12">
        <f>E10-E11</f>
        <v/>
      </c>
      <c r="F12" s="12">
        <f>F10-F11</f>
        <v/>
      </c>
    </row>
    <row r="13" ht="15" customHeight="1" s="1">
      <c r="A13" s="6" t="inlineStr">
        <is>
          <t>Capex ($M)</t>
        </is>
      </c>
      <c r="B13" s="13" t="n">
        <v>25</v>
      </c>
      <c r="C13" s="13" t="n">
        <v>30</v>
      </c>
      <c r="D13" s="13" t="n">
        <v>40</v>
      </c>
      <c r="E13" s="13" t="n">
        <v>90</v>
      </c>
      <c r="F13" s="13" t="n">
        <v>90</v>
      </c>
      <c r="G13" s="3" t="inlineStr">
        <is>
          <t>Sustaining $25–40M; Dewey Burdock $264M total assumed staged 2029–31 — FLEX THIS: financing exceeds current market cap</t>
        </is>
      </c>
    </row>
    <row r="14" ht="15" customHeight="1" s="1">
      <c r="A14" s="6" t="inlineStr">
        <is>
          <t>Free cash flow ($M)</t>
        </is>
      </c>
      <c r="B14" s="12">
        <f>B12-B13</f>
        <v/>
      </c>
      <c r="C14" s="12">
        <f>C12-C13</f>
        <v/>
      </c>
      <c r="D14" s="12">
        <f>D12-D13</f>
        <v/>
      </c>
      <c r="E14" s="12">
        <f>E12-E13</f>
        <v/>
      </c>
      <c r="F14" s="12">
        <f>F12-F13</f>
        <v/>
      </c>
    </row>
    <row r="15" ht="15" customHeight="1" s="1">
      <c r="A15" s="6" t="inlineStr">
        <is>
          <t>Year index</t>
        </is>
      </c>
      <c r="B15" s="30" t="n">
        <v>1</v>
      </c>
      <c r="C15" s="30" t="n">
        <v>2</v>
      </c>
      <c r="D15" s="30" t="n">
        <v>3</v>
      </c>
      <c r="E15" s="30" t="n">
        <v>4</v>
      </c>
      <c r="F15" s="30" t="n">
        <v>5</v>
      </c>
    </row>
    <row r="16" ht="15" customHeight="1" s="1">
      <c r="A16" s="6" t="inlineStr">
        <is>
          <t>Discount factor</t>
        </is>
      </c>
      <c r="B16" s="31">
        <f>1/(1+Inputs!$B$40)^B15</f>
        <v/>
      </c>
      <c r="C16" s="31">
        <f>1/(1+Inputs!$B$40)^C15</f>
        <v/>
      </c>
      <c r="D16" s="31">
        <f>1/(1+Inputs!$B$40)^D15</f>
        <v/>
      </c>
      <c r="E16" s="31">
        <f>1/(1+Inputs!$B$40)^E15</f>
        <v/>
      </c>
      <c r="F16" s="31">
        <f>1/(1+Inputs!$B$40)^F15</f>
        <v/>
      </c>
    </row>
    <row r="17" ht="15" customHeight="1" s="1">
      <c r="A17" s="6" t="inlineStr">
        <is>
          <t>PV of FCF ($M)</t>
        </is>
      </c>
      <c r="B17" s="14">
        <f>B14*B16</f>
        <v/>
      </c>
      <c r="C17" s="14">
        <f>C14*C16</f>
        <v/>
      </c>
      <c r="D17" s="14">
        <f>D14*D16</f>
        <v/>
      </c>
      <c r="E17" s="14">
        <f>E14*E16</f>
        <v/>
      </c>
      <c r="F17" s="14">
        <f>F14*F16</f>
        <v/>
      </c>
    </row>
    <row r="19" ht="15" customHeight="1" s="1">
      <c r="A19" s="5" t="inlineStr">
        <is>
          <t>TERMINAL VALUE &amp; NAV</t>
        </is>
      </c>
      <c r="B19" s="5" t="n"/>
      <c r="C19" s="5" t="n"/>
      <c r="D19" s="5" t="n"/>
      <c r="E19" s="5" t="n"/>
      <c r="F19" s="5" t="n"/>
      <c r="G19" s="5" t="n"/>
    </row>
    <row r="20" ht="15" customHeight="1" s="1">
      <c r="A20" s="6" t="inlineStr">
        <is>
          <t>Normalized FCF for TV ($M)</t>
        </is>
      </c>
      <c r="B20" s="14">
        <f>F12-Inputs!$B$48</f>
        <v/>
      </c>
      <c r="G20" s="3" t="inlineStr">
        <is>
          <t>2030 EBITDA less steady-state sustaining capex</t>
        </is>
      </c>
    </row>
    <row r="21" ht="15" customHeight="1" s="1">
      <c r="A21" s="6" t="inlineStr">
        <is>
          <t>TV — Gordon growth ($M)</t>
        </is>
      </c>
      <c r="B21" s="14">
        <f>IFERROR(B20*(1+Inputs!$B$44)/(Inputs!$B$40-Inputs!$B$44),0)</f>
        <v/>
      </c>
      <c r="G21" s="3" t="inlineStr">
        <is>
          <t>Guarded: returns 0 if growth ≥ discount rate</t>
        </is>
      </c>
    </row>
    <row r="22" ht="15" customHeight="1" s="1">
      <c r="A22" s="6" t="inlineStr">
        <is>
          <t>TV — Exit multiple ($M)</t>
        </is>
      </c>
      <c r="B22" s="14">
        <f>Inputs!$B$45*Inputs!$B$46</f>
        <v/>
      </c>
      <c r="G22" s="3" t="inlineStr">
        <is>
          <t>Exit EV/lb × total resource lbs</t>
        </is>
      </c>
    </row>
    <row r="23" ht="15" customHeight="1" s="1">
      <c r="A23" s="8" t="inlineStr">
        <is>
          <t>TV selected ($M)</t>
        </is>
      </c>
      <c r="B23" s="12">
        <f>IF(Inputs!$B$43="Gordon growth",B21,B22)</f>
        <v/>
      </c>
      <c r="G23" s="3" t="inlineStr">
        <is>
          <t>Switch method on Inputs (B43)</t>
        </is>
      </c>
    </row>
    <row r="24" ht="15" customHeight="1" s="1">
      <c r="A24" s="6" t="inlineStr">
        <is>
          <t>PV of terminal value ($M)</t>
        </is>
      </c>
      <c r="B24" s="14">
        <f>B23*F16</f>
        <v/>
      </c>
    </row>
    <row r="25" ht="15" customHeight="1" s="1">
      <c r="A25" s="6" t="inlineStr">
        <is>
          <t>Sum PV of FCF ($M)</t>
        </is>
      </c>
      <c r="B25" s="14">
        <f>SUM(B17:F17)</f>
        <v/>
      </c>
    </row>
    <row r="26" ht="15" customHeight="1" s="1">
      <c r="A26" s="8" t="inlineStr">
        <is>
          <t>Enterprise value ($M)</t>
        </is>
      </c>
      <c r="B26" s="12">
        <f>B24+B25</f>
        <v/>
      </c>
    </row>
    <row r="27" ht="15" customHeight="1" s="1">
      <c r="A27" s="6" t="inlineStr">
        <is>
          <t>+ Cash &amp; marketable securities ($M)</t>
        </is>
      </c>
      <c r="B27" s="32">
        <f>Inputs!B13+Inputs!B14</f>
        <v/>
      </c>
    </row>
    <row r="28" ht="15" customHeight="1" s="1">
      <c r="A28" s="6" t="inlineStr">
        <is>
          <t>− Debt, face value ($M)</t>
        </is>
      </c>
      <c r="B28" s="32">
        <f>Inputs!B15</f>
        <v/>
      </c>
    </row>
    <row r="29" ht="15" customHeight="1" s="1">
      <c r="A29" s="8" t="inlineStr">
        <is>
          <t>Equity value ($M)</t>
        </is>
      </c>
      <c r="B29" s="12">
        <f>B26+B27-B28</f>
        <v/>
      </c>
    </row>
    <row r="30" ht="15" customHeight="1" s="1">
      <c r="A30" s="8" t="inlineStr">
        <is>
          <t>NAV PER SHARE ($)</t>
        </is>
      </c>
      <c r="B30" s="33">
        <f>B29/Inputs!B11</f>
        <v/>
      </c>
      <c r="G30" s="3" t="inlineStr">
        <is>
          <t>→ feeds OwnPrice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zoomScaleNormal="100" workbookViewId="0">
      <selection activeCell="A1" sqref="A1"/>
    </sheetView>
  </sheetViews>
  <sheetFormatPr baseColWidth="8" defaultColWidth="8.7421875" defaultRowHeight="15"/>
  <cols>
    <col width="25.9609375" customWidth="1" style="1" min="1" max="1"/>
    <col width="7.93359375" customWidth="1" style="1" min="2" max="2"/>
    <col width="13.046875" customWidth="1" style="1" min="3" max="3"/>
    <col width="14.9296875" customWidth="1" style="1" min="4" max="4"/>
    <col width="36.05078125" customWidth="1" style="1" min="5" max="5"/>
    <col width="41.96875" customWidth="1" style="1" min="6" max="6"/>
  </cols>
  <sheetData>
    <row r="1" ht="15.75" customHeight="1" s="1">
      <c r="A1" s="2" t="inlineStr">
        <is>
          <t>PEER CROSS-CHECK — uranium universe (point-in-time May–Jul 2026)</t>
        </is>
      </c>
    </row>
    <row r="2" ht="15" customHeight="1" s="1">
      <c r="A2" s="3" t="inlineStr">
        <is>
          <t>Producers command an EV/lb premium over developers; Cameco trades ~2.3× NAV while developers/KAP sit near or below NAV. Refresh BLUE caps before each run.</t>
        </is>
      </c>
    </row>
    <row r="4" ht="15" customHeight="1" s="1">
      <c r="A4" s="5" t="inlineStr">
        <is>
          <t>Company</t>
        </is>
      </c>
      <c r="B4" s="5" t="inlineStr">
        <is>
          <t>Ticker</t>
        </is>
      </c>
      <c r="C4" s="5" t="inlineStr">
        <is>
          <t>Mkt cap ($M)</t>
        </is>
      </c>
      <c r="D4" s="5" t="inlineStr">
        <is>
          <t>Status</t>
        </is>
      </c>
      <c r="E4" s="5" t="inlineStr">
        <is>
          <t>Production / capacity</t>
        </is>
      </c>
      <c r="F4" s="5" t="inlineStr">
        <is>
          <t>Note</t>
        </is>
      </c>
    </row>
    <row r="5" ht="15" customHeight="1" s="1">
      <c r="A5" s="6" t="inlineStr">
        <is>
          <t>Cameco</t>
        </is>
      </c>
      <c r="B5" s="6" t="inlineStr">
        <is>
          <t>CCJ</t>
        </is>
      </c>
      <c r="C5" s="13" t="n">
        <v>64500</v>
      </c>
      <c r="D5" s="6" t="inlineStr">
        <is>
          <t>Producer</t>
        </is>
      </c>
      <c r="E5" s="3" t="inlineStr">
        <is>
          <t>~28M lbs/yr contracted 2026–30</t>
        </is>
      </c>
      <c r="F5" s="3" t="inlineStr">
        <is>
          <t>Trades ~2.3× NAV; + Westinghouse 49%</t>
        </is>
      </c>
    </row>
    <row r="6" ht="15" customHeight="1" s="1">
      <c r="A6" s="6" t="inlineStr">
        <is>
          <t>NexGen Energy</t>
        </is>
      </c>
      <c r="B6" s="6" t="inlineStr">
        <is>
          <t>NXE</t>
        </is>
      </c>
      <c r="C6" s="13" t="n">
        <v>10950</v>
      </c>
      <c r="D6" s="6" t="inlineStr">
        <is>
          <t>Developer</t>
        </is>
      </c>
      <c r="E6" s="3" t="inlineStr">
        <is>
          <t>0 — Rook I / Arrow</t>
        </is>
      </c>
      <c r="F6" s="3" t="inlineStr">
        <is>
          <t>Athabasca; first ore ~late decade</t>
        </is>
      </c>
    </row>
    <row r="7" ht="15" customHeight="1" s="1">
      <c r="A7" s="6" t="inlineStr">
        <is>
          <t>Uranium Energy</t>
        </is>
      </c>
      <c r="B7" s="6" t="inlineStr">
        <is>
          <t>UEC</t>
        </is>
      </c>
      <c r="C7" s="13" t="n">
        <v>6200</v>
      </c>
      <c r="D7" s="6" t="inlineStr">
        <is>
          <t>Producer (ramp)</t>
        </is>
      </c>
      <c r="E7" s="3" t="inlineStr">
        <is>
          <t>12.1M lbs/yr licensed; small actual output</t>
        </is>
      </c>
      <c r="F7" s="3" t="inlineStr">
        <is>
          <t>Debt-free, unhedged; use ACTUAL lbs for EV/lb</t>
        </is>
      </c>
    </row>
    <row r="8" ht="15" customHeight="1" s="1">
      <c r="A8" s="6" t="inlineStr">
        <is>
          <t>Denison Mines</t>
        </is>
      </c>
      <c r="B8" s="6" t="inlineStr">
        <is>
          <t>DNN</t>
        </is>
      </c>
      <c r="C8" s="13" t="n">
        <v>4710</v>
      </c>
      <c r="D8" s="6" t="inlineStr">
        <is>
          <t>Developer</t>
        </is>
      </c>
      <c r="E8" s="3" t="inlineStr">
        <is>
          <t>~0 — Wheeler River / Phoenix</t>
        </is>
      </c>
      <c r="F8" s="3" t="inlineStr">
        <is>
          <t>Trades ≤ NAV</t>
        </is>
      </c>
    </row>
    <row r="9" ht="15" customHeight="1" s="1">
      <c r="A9" s="6" t="inlineStr">
        <is>
          <t>Energy Fuels</t>
        </is>
      </c>
      <c r="B9" s="6" t="inlineStr">
        <is>
          <t>UUUU</t>
        </is>
      </c>
      <c r="C9" s="13" t="n">
        <v>4510</v>
      </c>
      <c r="D9" s="6" t="inlineStr">
        <is>
          <t>Producer</t>
        </is>
      </c>
      <c r="E9" s="3" t="inlineStr">
        <is>
          <t>1.5–2.5M lbs 2026 guidance</t>
        </is>
      </c>
      <c r="F9" s="3" t="inlineStr">
        <is>
          <t>+ rare earths</t>
        </is>
      </c>
    </row>
    <row r="10" ht="15" customHeight="1" s="1">
      <c r="A10" s="6" t="inlineStr">
        <is>
          <t>Kazatomprom</t>
        </is>
      </c>
      <c r="B10" s="6" t="inlineStr">
        <is>
          <t>KAP</t>
        </is>
      </c>
      <c r="C10" s="13" t="n">
        <v>13500</v>
      </c>
      <c r="D10" s="6" t="inlineStr">
        <is>
          <t>Producer</t>
        </is>
      </c>
      <c r="E10" s="3" t="inlineStr">
        <is>
          <t>&gt;40% of global primary output</t>
        </is>
      </c>
      <c r="F10" s="3" t="inlineStr">
        <is>
          <t>Lowest cost; Kazakh state risk; ≤ NAV</t>
        </is>
      </c>
    </row>
    <row r="11" ht="15" customHeight="1" s="1">
      <c r="A11" s="6" t="inlineStr">
        <is>
          <t>Ur-Energy</t>
        </is>
      </c>
      <c r="B11" s="6" t="inlineStr">
        <is>
          <t>URG</t>
        </is>
      </c>
      <c r="C11" s="13" t="n">
        <v>602</v>
      </c>
      <c r="D11" s="6" t="inlineStr">
        <is>
          <t>Producer</t>
        </is>
      </c>
      <c r="E11" s="3" t="inlineStr">
        <is>
          <t>ISR — Lost Creek, Shirley Basin</t>
        </is>
      </c>
      <c r="F11" s="3" t="inlineStr">
        <is>
          <t>EU holds 23.8M URG shares</t>
        </is>
      </c>
    </row>
    <row r="12" ht="15" customHeight="1" s="1">
      <c r="A12" s="6" t="inlineStr">
        <is>
          <t>enCore Energy</t>
        </is>
      </c>
      <c r="B12" s="6" t="inlineStr">
        <is>
          <t>EU</t>
        </is>
      </c>
      <c r="C12" s="32">
        <f>Inputs!B12</f>
        <v/>
      </c>
      <c r="D12" s="6" t="inlineStr">
        <is>
          <t>Producer (ramp)</t>
        </is>
      </c>
      <c r="E12" s="3" t="inlineStr">
        <is>
          <t>~0.7M lbs/yr now; 1.5M licensed Alta Mesa</t>
        </is>
      </c>
      <c r="F12" s="3" t="inlineStr">
        <is>
          <t>Resource 51.5M lbs (M&amp;I + inferred)</t>
        </is>
      </c>
    </row>
    <row r="14" ht="15" customHeight="1" s="1">
      <c r="A14" s="5" t="inlineStr">
        <is>
          <t>PEER-IMPLIED PRICE FOR THIS STOCK</t>
        </is>
      </c>
      <c r="B14" s="5" t="n"/>
      <c r="C14" s="5" t="n"/>
      <c r="D14" s="5" t="n"/>
      <c r="E14" s="5" t="n"/>
      <c r="F14" s="5" t="n"/>
    </row>
    <row r="15" ht="15" customHeight="1" s="1">
      <c r="A15" s="6" t="inlineStr">
        <is>
          <t>EV per lb of resource applied ($/lb)</t>
        </is>
      </c>
      <c r="B15" s="25">
        <f>Inputs!B45</f>
        <v/>
      </c>
      <c r="C15" s="3" t="inlineStr">
        <is>
          <t>Shared lever with the TV exit multiple (Inputs B45) — one number to steer both</t>
        </is>
      </c>
    </row>
    <row r="16" ht="15" customHeight="1" s="1">
      <c r="A16" s="6" t="inlineStr">
        <is>
          <t>Resource (M lbs)</t>
        </is>
      </c>
      <c r="B16" s="27">
        <f>Inputs!B46</f>
        <v/>
      </c>
    </row>
    <row r="17" ht="15" customHeight="1" s="1">
      <c r="A17" s="6" t="inlineStr">
        <is>
          <t>Implied enterprise value ($M)</t>
        </is>
      </c>
      <c r="B17" s="14">
        <f>B15*B16</f>
        <v/>
      </c>
    </row>
    <row r="18" ht="15" customHeight="1" s="1">
      <c r="A18" s="6" t="inlineStr">
        <is>
          <t>+ Cash &amp; securities − debt ($M)</t>
        </is>
      </c>
      <c r="B18" s="32">
        <f>Inputs!B13+Inputs!B14-Inputs!B15</f>
        <v/>
      </c>
    </row>
    <row r="19" ht="15" customHeight="1" s="1">
      <c r="A19" s="6" t="inlineStr">
        <is>
          <t>Implied equity value ($M)</t>
        </is>
      </c>
      <c r="B19" s="14">
        <f>B17+B18</f>
        <v/>
      </c>
    </row>
    <row r="20" ht="15" customHeight="1" s="1">
      <c r="A20" s="8" t="inlineStr">
        <is>
          <t>PEER-IMPLIED PRICE ($)</t>
        </is>
      </c>
      <c r="B20" s="33">
        <f>B19/Inputs!B11</f>
        <v/>
      </c>
      <c r="C20" s="3" t="inlineStr">
        <is>
          <t>→ feeds OwnPrice</t>
        </is>
      </c>
    </row>
    <row r="22" ht="15" customHeight="1" s="1">
      <c r="A22" s="3" t="inlineStr">
        <is>
          <t>Sanity rule: if this leg and the NAV leg diverge by more than ~2×, revisit the production ramp and cost deck before trusting the blend.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zoomScaleNormal="100" workbookViewId="0">
      <selection activeCell="A1" sqref="A1"/>
    </sheetView>
  </sheetViews>
  <sheetFormatPr baseColWidth="8" defaultColWidth="8.7421875" defaultRowHeight="15"/>
  <cols>
    <col width="34.03125" customWidth="1" style="1" min="1" max="1"/>
    <col width="23.9453125" customWidth="1" style="1" min="2" max="2"/>
    <col width="50.04296875" customWidth="1" style="1" min="3" max="3"/>
  </cols>
  <sheetData>
    <row r="1" ht="15.75" customHeight="1" s="1">
      <c r="A1" s="2" t="inlineStr">
        <is>
          <t>YOUR OWN PRICE — the answer sheet</t>
        </is>
      </c>
    </row>
    <row r="2" ht="15" customHeight="1" s="1">
      <c r="A2" s="3" t="inlineStr">
        <is>
          <t>Own Price = (w1 × NAV + w2 × Peer + w3 × Analyst) × (1 − liquidity discount)</t>
        </is>
      </c>
    </row>
    <row r="4" ht="15" customHeight="1" s="1">
      <c r="A4" s="8" t="inlineStr">
        <is>
          <t>1. NAV per share (DCF)</t>
        </is>
      </c>
      <c r="B4" s="34">
        <f>DCF!B30</f>
        <v/>
      </c>
    </row>
    <row r="5" ht="15" customHeight="1" s="1">
      <c r="A5" s="8" t="inlineStr">
        <is>
          <t>2. Peer-implied price</t>
        </is>
      </c>
      <c r="B5" s="34">
        <f>Peers!B20</f>
        <v/>
      </c>
    </row>
    <row r="6" ht="15" customHeight="1" s="1">
      <c r="A6" s="8" t="inlineStr">
        <is>
          <t>3. Analyst target</t>
        </is>
      </c>
      <c r="B6" s="35">
        <f>Inputs!B51</f>
        <v/>
      </c>
    </row>
    <row r="7" ht="15" customHeight="1" s="1">
      <c r="A7" s="8" t="inlineStr">
        <is>
          <t>4. Weights (NAV / Peer / Analyst)</t>
        </is>
      </c>
      <c r="B7" s="6">
        <f>TEXT(Inputs!B52,"0%")&amp;" / "&amp;TEXT(Inputs!B53,"0%")&amp;" / "&amp;TEXT(Inputs!B54,"0%")</f>
        <v/>
      </c>
    </row>
    <row r="8" ht="15" customHeight="1" s="1">
      <c r="A8" s="8" t="inlineStr">
        <is>
          <t>5. Blended value, pre-discount</t>
        </is>
      </c>
      <c r="B8" s="36">
        <f>Inputs!B52*B4+Inputs!B53*B5+Inputs!B54*B6</f>
        <v/>
      </c>
    </row>
    <row r="9" ht="15" customHeight="1" s="1">
      <c r="A9" s="8" t="inlineStr">
        <is>
          <t>6. Liquidity discount</t>
        </is>
      </c>
      <c r="B9" s="37">
        <f>Inputs!B25</f>
        <v/>
      </c>
    </row>
    <row r="10" ht="15" customHeight="1" s="1">
      <c r="A10" s="8" t="inlineStr">
        <is>
          <t>7. OWN PRICE</t>
        </is>
      </c>
      <c r="B10" s="38">
        <f>B8*(1-B9)</f>
        <v/>
      </c>
    </row>
    <row r="11" ht="15" customHeight="1" s="1">
      <c r="A11" s="8" t="inlineStr">
        <is>
          <t>8. Current market price</t>
        </is>
      </c>
      <c r="B11" s="35">
        <f>Inputs!B8</f>
        <v/>
      </c>
    </row>
    <row r="12" ht="15" customHeight="1" s="1">
      <c r="A12" s="8" t="inlineStr">
        <is>
          <t>9. Upside / (downside)</t>
        </is>
      </c>
      <c r="B12" s="18">
        <f>IF(B11=0,0,B10/B11-1)</f>
        <v/>
      </c>
    </row>
    <row r="13" ht="15" customHeight="1" s="1">
      <c r="A13" s="8" t="inlineStr">
        <is>
          <t>10. Verdict</t>
        </is>
      </c>
      <c r="B13" s="39">
        <f>IF(B12&gt;0.25,"UNDERVALUED on your assumptions",IF(B12&lt;-0.25,"OVERVALUED on your assumptions","ROUGHLY FAIRLY VALUED on your assumptions"))</f>
        <v/>
      </c>
    </row>
    <row r="15" ht="15" customHeight="1" s="1">
      <c r="A15" s="8" t="inlineStr">
        <is>
          <t>Thesis triggers to watch (from July 2026 research):</t>
        </is>
      </c>
    </row>
    <row r="16" ht="15" customHeight="1" s="1">
      <c r="A16" s="3" t="inlineStr">
        <is>
          <t>1. Alta Mesa sustaining a ~1.5M lbs/yr run-rate (permitting was the 2026 drag).</t>
        </is>
      </c>
    </row>
    <row r="17" ht="15" customHeight="1" s="1">
      <c r="A17" s="3" t="inlineStr">
        <is>
          <t>2. Dewey Burdock financing — $264M capex vs ~$295M market cap: dilution/streaming risk to per-share NAV.</t>
        </is>
      </c>
    </row>
    <row r="18" ht="15" customHeight="1" s="1">
      <c r="A18" s="3" t="inlineStr">
        <is>
          <t>3. Uranium term price holding above $90/lb as EU's legacy contracts roll off.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zoomScaleNormal="100" workbookViewId="0">
      <selection activeCell="A1" sqref="A1"/>
    </sheetView>
  </sheetViews>
  <sheetFormatPr baseColWidth="8" defaultColWidth="8.7421875" defaultRowHeight="15"/>
  <cols>
    <col width="11.02734375" customWidth="1" style="1" min="1" max="1"/>
    <col width="9.01171875" customWidth="1" style="1" min="2" max="2"/>
    <col width="13.046875" customWidth="1" style="1" min="3" max="4"/>
    <col width="9.01171875" customWidth="1" style="1" min="5" max="6"/>
    <col width="9.953125" customWidth="1" style="1" min="7" max="7"/>
    <col width="11.02734375" customWidth="1" style="1" min="8" max="8"/>
    <col width="9.953125" customWidth="1" style="1" min="9" max="9"/>
    <col width="52.05859375" customWidth="1" style="1" min="10" max="10"/>
  </cols>
  <sheetData>
    <row r="1" ht="15.75" customHeight="1" s="1">
      <c r="A1" s="2" t="inlineStr">
        <is>
          <t>VERSION LOG — snapshot every run so the method self-improves</t>
        </is>
      </c>
    </row>
    <row r="2" ht="15" customHeight="1" s="1">
      <c r="A2" s="3" t="inlineStr">
        <is>
          <t>Row 5 is LIVE (formulas). To freeze a version: copy row 5, then Paste Special → Values Only onto the next empty row, and type your note.</t>
        </is>
      </c>
    </row>
    <row r="4" ht="15" customHeight="1" s="1">
      <c r="A4" s="5" t="inlineStr">
        <is>
          <t>Date</t>
        </is>
      </c>
      <c r="B4" s="5" t="inlineStr">
        <is>
          <t>Bucket</t>
        </is>
      </c>
      <c r="C4" s="5" t="inlineStr">
        <is>
          <t>Discount rate</t>
        </is>
      </c>
      <c r="D4" s="5" t="inlineStr">
        <is>
          <t>Liq. discount</t>
        </is>
      </c>
      <c r="E4" s="5" t="inlineStr">
        <is>
          <t>P_NAV</t>
        </is>
      </c>
      <c r="F4" s="5" t="inlineStr">
        <is>
          <t>P_Peer</t>
        </is>
      </c>
      <c r="G4" s="5" t="inlineStr">
        <is>
          <t>P_Analyst</t>
        </is>
      </c>
      <c r="H4" s="5" t="inlineStr">
        <is>
          <t>OWN PRICE</t>
        </is>
      </c>
      <c r="I4" s="5" t="inlineStr">
        <is>
          <t>Mkt price</t>
        </is>
      </c>
      <c r="J4" s="5" t="inlineStr">
        <is>
          <t>Notes</t>
        </is>
      </c>
    </row>
    <row r="5" ht="15" customHeight="1" s="1">
      <c r="A5" s="40">
        <f>TODAY()</f>
        <v/>
      </c>
      <c r="B5" s="41">
        <f>Inputs!B21</f>
        <v/>
      </c>
      <c r="C5" s="37">
        <f>Inputs!B40</f>
        <v/>
      </c>
      <c r="D5" s="37">
        <f>Inputs!B25</f>
        <v/>
      </c>
      <c r="E5" s="35">
        <f>DCF!B30</f>
        <v/>
      </c>
      <c r="F5" s="35">
        <f>Peers!B20</f>
        <v/>
      </c>
      <c r="G5" s="35">
        <f>Inputs!B51</f>
        <v/>
      </c>
      <c r="H5" s="35">
        <f>OwnPrice!B10</f>
        <v/>
      </c>
      <c r="I5" s="35">
        <f>Inputs!B8</f>
        <v/>
      </c>
      <c r="J5" s="41" t="inlineStr">
        <is>
          <t>LIVE ROW — paste values below to log</t>
        </is>
      </c>
    </row>
    <row r="6" ht="15" customHeight="1" s="1">
      <c r="A6" s="42" t="inlineStr">
        <is>
          <t>21-Jul-26</t>
        </is>
      </c>
      <c r="B6" s="6" t="inlineStr">
        <is>
          <t>Micro</t>
        </is>
      </c>
      <c r="C6" s="16" t="n">
        <v>0.1555</v>
      </c>
      <c r="D6" s="16" t="n">
        <v>0.1</v>
      </c>
      <c r="E6" s="36" t="n">
        <v>1.25</v>
      </c>
      <c r="F6" s="36" t="n">
        <v>3.17</v>
      </c>
      <c r="G6" s="36" t="n">
        <v>3.75</v>
      </c>
      <c r="H6" s="36" t="n">
        <v>2.09</v>
      </c>
      <c r="I6" s="36" t="n">
        <v>1.5</v>
      </c>
      <c r="J6" s="6" t="inlineStr">
        <is>
          <t>Example frozen run — first EU build; capex staged 90/90 for Dewey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2026-07-21T19:20:27Z</dcterms:created>
  <dcterms:modified xsi:type="dcterms:W3CDTF">2026-07-25T06:49:45Z</dcterms:modified>
  <cp:revision>0</cp:revision>
</cp:coreProperties>
</file>